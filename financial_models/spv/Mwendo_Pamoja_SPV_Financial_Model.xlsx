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8f0ad5c80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056cfcc07a4179"/>
    <x:sheet xmlns:r="http://schemas.openxmlformats.org/officeDocument/2006/relationships" name="Assumptions" sheetId="2" r:id="Rcad05bd5bdc743b4"/>
    <x:sheet xmlns:r="http://schemas.openxmlformats.org/officeDocument/2006/relationships" name="Op Build" sheetId="3" r:id="Ra1af251f38494eff"/>
    <x:sheet xmlns:r="http://schemas.openxmlformats.org/officeDocument/2006/relationships" name="Checks" sheetId="4" r:id="Rddc20dd41ea54d4c"/>
    <x:sheet xmlns:r="http://schemas.openxmlformats.org/officeDocument/2006/relationships" name="Cover" sheetId="5" r:id="R94468e7b746d4662"/>
    <x:sheet xmlns:r="http://schemas.openxmlformats.org/officeDocument/2006/relationships" name="Scenario_Control" sheetId="6" r:id="R1511d535c8154ab1"/>
    <x:sheet xmlns:r="http://schemas.openxmlformats.org/officeDocument/2006/relationships" name="Origination_Drivers" sheetId="7" r:id="R7c3da0bc10764053"/>
    <x:sheet xmlns:r="http://schemas.openxmlformats.org/officeDocument/2006/relationships" name="IPF_Schedule" sheetId="8" r:id="R4d3df95d250c418b"/>
    <x:sheet xmlns:r="http://schemas.openxmlformats.org/officeDocument/2006/relationships" name="Microloan_Schedule" sheetId="9" r:id="Rfdd99857dfcc4797"/>
    <x:sheet xmlns:r="http://schemas.openxmlformats.org/officeDocument/2006/relationships" name="Revolver_Schedule" sheetId="10" r:id="Re48aafcbc9d14549"/>
    <x:sheet xmlns:r="http://schemas.openxmlformats.org/officeDocument/2006/relationships" name="Collections_Losses" sheetId="11" r:id="Rd91d708901374937"/>
    <x:sheet xmlns:r="http://schemas.openxmlformats.org/officeDocument/2006/relationships" name="SPV_Cashflow" sheetId="12" r:id="R593835fa599e4425"/>
    <x:sheet xmlns:r="http://schemas.openxmlformats.org/officeDocument/2006/relationships" name="Waterfall" sheetId="13" r:id="R44582c5e373645e8"/>
    <x:sheet xmlns:r="http://schemas.openxmlformats.org/officeDocument/2006/relationships" name="Debt_Schedules" sheetId="14" r:id="R2d0fdbf365ac454f"/>
    <x:sheet xmlns:r="http://schemas.openxmlformats.org/officeDocument/2006/relationships" name="Reserves_OC" sheetId="15" r:id="R0274c130765b46bb"/>
    <x:sheet xmlns:r="http://schemas.openxmlformats.org/officeDocument/2006/relationships" name="Covenants" sheetId="16" r:id="Reec104fe1ced4718"/>
    <x:sheet xmlns:r="http://schemas.openxmlformats.org/officeDocument/2006/relationships" name="Returns" sheetId="17" r:id="R060d1ebe3d1a40b4"/>
    <x:sheet xmlns:r="http://schemas.openxmlformats.org/officeDocument/2006/relationships" name="Sensitivities" sheetId="18" r:id="Rb71f6962665a4c3f"/>
    <x:sheet xmlns:r="http://schemas.openxmlformats.org/officeDocument/2006/relationships" name="HoldCo_Overlay" sheetId="19" r:id="R384432fa1dbf4a3b"/>
    <x:sheet xmlns:r="http://schemas.openxmlformats.org/officeDocument/2006/relationships" name="Partner_Economics" sheetId="20" r:id="Ra3b49edccf084e08"/>
    <x:sheet xmlns:r="http://schemas.openxmlformats.org/officeDocument/2006/relationships" name="Sources_Audit" sheetId="21" r:id="R1048be2ba8e8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164" formatCode="mmm\ d\,\ yyyy"/>
    <x:numFmt numFmtId="165" formatCode="\$#,##0;[Red]\(\$#,##0\);\-"/>
    <x:numFmt numFmtId="166" formatCode="0.0\ &quot;mos&quot;"/>
    <x:numFmt numFmtId="167" formatCode="#,##0;[Red]\(#,##0\);\-"/>
    <x:numFmt numFmtId="168" formatCode="0.0%;[Red]\(0.0%\);\-"/>
    <x:numFmt numFmtId="169" formatCode="0.0\x"/>
    <x:numFmt numFmtId="170" formatCode="#,##0.0;[Red]\(#,##0.0\);\-"/>
    <x:numFmt numFmtId="200" formatCode="#,##0.0;(#,##0.0);-"/>
    <x:numFmt numFmtId="201" formatCode="0.0%"/>
    <x:numFmt numFmtId="202" formatCode="#,##0;(#,##0);-"/>
    <x:numFmt numFmtId="203" formatCode="0.00x"/>
    <x:numFmt numFmtId="204" formatCode="0.0x"/>
  </x:numFmts>
  <x:fonts count="25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b/>
      <x:sz val="10"/>
      <x:color rgb="FFD9E2EA"/>
      <x:name val="Arial"/>
    </x:font>
    <x:font>
      <x:sz val="11"/>
      <x:color theme="1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17212B"/>
      <x:name val="Arial"/>
    </x:font>
    <x:font>
      <x:b/>
      <x:sz val="16"/>
      <x:color rgb="FF174A7E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000FF"/>
      <x:name val="Arial"/>
    </x:font>
    <x:font>
      <x:sz val="9"/>
      <x:color rgb="FF000000"/>
      <x:name val="Arial"/>
    </x:font>
    <x:font>
      <x:b/>
      <x:sz val="9"/>
      <x:color rgb="FF008000"/>
      <x:name val="Arial"/>
    </x:font>
    <x:font>
      <x:sz val="9"/>
      <x:color rgb="FF008000"/>
      <x:name val="Arial"/>
    </x:font>
    <x:font>
      <x:b/>
      <x:sz val="9"/>
      <x:color rgb="FF000000"/>
      <x:name val="Arial"/>
    </x:font>
    <x:font>
      <x:i/>
      <x:sz val="10"/>
      <x:color rgb="FFD9E2EA"/>
      <x:name val="Arial"/>
    </x:font>
    <x:font>
      <x:i/>
      <x:sz val="9"/>
      <x:color theme="0" tint="-0.24998"/>
      <x:name val="Arial"/>
    </x:font>
    <x:font>
      <x:b/>
      <x:sz val="11"/>
      <x:color rgb="FFFFFFFF"/>
      <x:name val="Aptos Narrow"/>
    </x:font>
    <x:font>
      <x:b/>
      <x:sz val="16"/>
      <x:color rgb="FFFFFFFF"/>
      <x:name val="Aptos Narrow"/>
    </x:font>
    <x:font>
      <x:i/>
      <x:sz val="10"/>
      <x:color rgb="FF666666"/>
      <x:name val="Aptos Narrow"/>
    </x:font>
    <x:font>
      <x:b/>
      <x:sz val="11"/>
      <x:color rgb="FF17365D"/>
      <x:name val="Aptos Narrow"/>
    </x:font>
    <x:font>
      <x:sz val="11"/>
      <x:color rgb="FF0000FF"/>
      <x:name val="Aptos Narrow"/>
    </x:font>
    <x:font>
      <x:sz val="11"/>
      <x:color rgb="FF008000"/>
      <x:name val="Aptos Narrow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4EC"/>
      </x:patternFill>
    </x:fill>
    <x:fill>
      <x:patternFill patternType="solid">
        <x:fgColor rgb="FF25313C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8"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25313C"/>
      </x:top>
      <x:bottom style="double">
        <x:color rgb="FF25313C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D9E0E6"/>
      </x:left>
      <x:right style="thin">
        <x:color rgb="FFD9E0E6"/>
      </x:right>
      <x:top style="thin">
        <x:color rgb="FF25313C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double">
        <x:color rgb="FF25313C"/>
      </x:bottom>
    </x:border>
    <x:border>
      <x:left style="thin">
        <x:color rgb="FFD9E0E6"/>
      </x:left>
      <x:right style="thin">
        <x:color rgb="FFD9E0E6"/>
      </x:right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bottom style="thin">
        <x:color rgb="FFD6C26E"/>
      </x:bottom>
    </x:border>
    <x:border>
      <x:top style="thin">
        <x:color theme="0"/>
      </x:top>
    </x:border>
    <x:border>
      <x:right style="thin">
        <x:color theme="0"/>
      </x:right>
      <x:top style="thin">
        <x:color theme="0"/>
      </x:top>
    </x:border>
    <x:border>
      <x:left style="thin">
        <x:color theme="0"/>
      </x:left>
      <x:right style="thin">
        <x:color theme="0"/>
      </x:right>
      <x:top style="thin">
        <x:color theme="0"/>
      </x:top>
    </x:border>
    <x:border>
      <x:left style="thin">
        <x:color rgb="FFD9E0E6"/>
      </x:left>
      <x:right style="thin">
        <x:color rgb="FFD9E0E6"/>
      </x:right>
      <x:top style="thin">
        <x:color rgb="FFD9E0E6"/>
      </x:top>
    </x:border>
    <x:border>
      <x:left style="thin">
        <x:color rgb="FFD9E0E6"/>
      </x:left>
      <x:right style="thin">
        <x:color rgb="FFD9E0E6"/>
      </x:right>
      <x:top style="thin">
        <x:color rgb="FF25313C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4" fillId="0" borderId="0" xfId="0" applyFont="1"/>
    <x:xf numFmtId="0" fontId="5" fillId="3" borderId="4" xfId="0" applyFont="1" applyFill="1" applyBorder="1" applyAlignment="1">
      <x:alignment horizontal="left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164" fontId="5" fillId="4" borderId="4" xfId="0" applyNumberFormat="1" applyFont="1" applyFill="1" applyBorder="1" applyAlignment="1">
      <x:alignment horizontal="center" vertical="center" wrapText="1"/>
    </x:xf>
    <x:xf numFmtId="0" fontId="10" fillId="2" borderId="14" xfId="0" applyFont="1" applyFill="1" applyBorder="1" applyAlignment="1">
      <x:alignment horizontal="center" vertical="center" wrapText="1"/>
    </x:xf>
    <x:xf numFmtId="0" fontId="11" fillId="4" borderId="14" xfId="0" applyFont="1" applyFill="1" applyBorder="1" applyAlignment="1">
      <x:alignment horizontal="left" vertical="center"/>
    </x:xf>
    <x:xf numFmtId="165" fontId="11" fillId="4" borderId="14" xfId="0" applyNumberFormat="1" applyFont="1" applyFill="1" applyBorder="1" applyAlignment="1">
      <x:alignment horizontal="right" vertical="center"/>
    </x:xf>
    <x:xf numFmtId="167" fontId="11" fillId="4" borderId="14" xfId="0" applyNumberFormat="1" applyFont="1" applyFill="1" applyBorder="1" applyAlignment="1">
      <x:alignment horizontal="right" vertical="center"/>
    </x:xf>
    <x:xf numFmtId="0" fontId="5" fillId="4" borderId="15" xfId="0" applyFont="1" applyFill="1" applyBorder="1" applyAlignment="1">
      <x:alignment horizontal="left" vertical="center"/>
    </x:xf>
    <x:xf numFmtId="165" fontId="5" fillId="4" borderId="15" xfId="0" applyNumberFormat="1" applyFont="1" applyFill="1" applyBorder="1" applyAlignment="1">
      <x:alignment horizontal="right" vertical="center"/>
    </x:xf>
    <x:xf numFmtId="167" fontId="5" fillId="4" borderId="15" xfId="0" applyNumberFormat="1" applyFont="1" applyFill="1" applyBorder="1" applyAlignment="1">
      <x:alignment horizontal="right" vertical="center"/>
    </x:xf>
    <x:xf numFmtId="0" fontId="5" fillId="3" borderId="14" xfId="0" applyFont="1" applyFill="1" applyBorder="1" applyAlignment="1">
      <x:alignment horizontal="left" vertical="center" wrapText="1"/>
    </x:xf>
    <x:xf numFmtId="0" fontId="12" fillId="5" borderId="16" xfId="0" applyFont="1" applyFill="1" applyBorder="1" applyAlignment="1">
      <x:alignment horizontal="right"/>
    </x:xf>
    <x:xf numFmtId="164" fontId="12" fillId="5" borderId="16" xfId="0" applyNumberFormat="1" applyFont="1" applyFill="1" applyBorder="1" applyAlignment="1">
      <x:alignment horizontal="right"/>
    </x:xf>
    <x:xf numFmtId="167" fontId="12" fillId="5" borderId="16" xfId="0" applyNumberFormat="1" applyFont="1" applyFill="1" applyBorder="1" applyAlignment="1">
      <x:alignment horizontal="right"/>
    </x:xf>
    <x:xf numFmtId="165" fontId="12" fillId="5" borderId="16" xfId="0" applyNumberFormat="1" applyFont="1" applyFill="1" applyBorder="1" applyAlignment="1">
      <x:alignment horizontal="right"/>
    </x:xf>
    <x:xf numFmtId="168" fontId="12" fillId="5" borderId="16" xfId="0" applyNumberFormat="1" applyFont="1" applyFill="1" applyBorder="1" applyAlignment="1">
      <x:alignment horizontal="right"/>
    </x:xf>
    <x:xf numFmtId="0" fontId="11" fillId="4" borderId="14" xfId="0" applyFont="1" applyFill="1" applyBorder="1" applyAlignment="1">
      <x:alignment horizontal="left" vertical="center" wrapText="1"/>
    </x:xf>
    <x:xf numFmtId="168" fontId="12" fillId="5" borderId="16" xfId="0" applyNumberFormat="1" applyFont="1" applyFill="1" applyBorder="1" applyAlignment="1">
      <x:alignment horizontal="right" vertical="center" wrapText="1"/>
    </x:xf>
    <x:xf numFmtId="168" fontId="13" fillId="4" borderId="14" xfId="0" applyNumberFormat="1" applyFont="1" applyFill="1" applyBorder="1" applyAlignment="1">
      <x:alignment horizontal="right" vertical="center" wrapText="1"/>
    </x:xf>
    <x:xf numFmtId="169" fontId="12" fillId="5" borderId="16" xfId="0" applyNumberFormat="1" applyFont="1" applyFill="1" applyBorder="1" applyAlignment="1">
      <x:alignment horizontal="right" vertical="center" wrapText="1"/>
    </x:xf>
    <x:xf numFmtId="169" fontId="13" fillId="4" borderId="14" xfId="0" applyNumberFormat="1" applyFont="1" applyFill="1" applyBorder="1" applyAlignment="1">
      <x:alignment horizontal="right" vertical="center" wrapText="1"/>
    </x:xf>
    <x:xf numFmtId="0" fontId="11" fillId="3" borderId="14" xfId="0" applyFont="1" applyFill="1" applyBorder="1" applyAlignment="1">
      <x:alignment horizontal="left" vertical="center" wrapText="1"/>
    </x:xf>
    <x:xf numFmtId="0" fontId="5" fillId="6" borderId="14" xfId="0" applyFont="1" applyFill="1" applyBorder="1" applyAlignment="1">
      <x:alignment horizontal="center" vertical="center" wrapText="1"/>
    </x:xf>
    <x:xf numFmtId="17" fontId="5" fillId="6" borderId="14" xfId="0" applyNumberFormat="1" applyFont="1" applyFill="1" applyBorder="1" applyAlignment="1">
      <x:alignment horizontal="center" vertical="center" wrapText="1"/>
    </x:xf>
    <x:xf numFmtId="0" fontId="14" fillId="6" borderId="14" xfId="0" applyFont="1" applyFill="1" applyBorder="1" applyAlignment="1">
      <x:alignment horizontal="center" vertical="center" wrapText="1"/>
    </x:xf>
    <x:xf numFmtId="167" fontId="13" fillId="4" borderId="14" xfId="0" applyNumberFormat="1" applyFont="1" applyFill="1" applyBorder="1" applyAlignment="1">
      <x:alignment horizontal="right" vertical="center"/>
    </x:xf>
    <x:xf numFmtId="167" fontId="15" fillId="4" borderId="14" xfId="0" applyNumberFormat="1" applyFont="1" applyFill="1" applyBorder="1" applyAlignment="1">
      <x:alignment horizontal="right" vertical="center"/>
    </x:xf>
    <x:xf numFmtId="165" fontId="13" fillId="4" borderId="14" xfId="0" applyNumberFormat="1" applyFont="1" applyFill="1" applyBorder="1" applyAlignment="1">
      <x:alignment horizontal="right" vertical="center"/>
    </x:xf>
    <x:xf numFmtId="168" fontId="15" fillId="4" borderId="14" xfId="0" applyNumberFormat="1" applyFont="1" applyFill="1" applyBorder="1" applyAlignment="1">
      <x:alignment horizontal="right" vertical="center"/>
    </x:xf>
    <x:xf numFmtId="168" fontId="13" fillId="4" borderId="14" xfId="0" applyNumberFormat="1" applyFont="1" applyFill="1" applyBorder="1" applyAlignment="1">
      <x:alignment horizontal="right" vertical="center"/>
    </x:xf>
    <x:xf numFmtId="165" fontId="5" fillId="4" borderId="17" xfId="0" applyNumberFormat="1" applyFont="1" applyFill="1" applyBorder="1" applyAlignment="1">
      <x:alignment horizontal="left" vertical="center"/>
    </x:xf>
    <x:xf numFmtId="165" fontId="16" fillId="4" borderId="17" xfId="0" applyNumberFormat="1" applyFont="1" applyFill="1" applyBorder="1" applyAlignment="1">
      <x:alignment horizontal="right" vertical="center"/>
    </x:xf>
    <x:xf numFmtId="165" fontId="5" fillId="4" borderId="18" xfId="0" applyNumberFormat="1" applyFont="1" applyFill="1" applyBorder="1" applyAlignment="1">
      <x:alignment horizontal="left" vertical="center"/>
    </x:xf>
    <x:xf numFmtId="165" fontId="14" fillId="4" borderId="18" xfId="0" applyNumberFormat="1" applyFont="1" applyFill="1" applyBorder="1" applyAlignment="1">
      <x:alignment horizontal="right" vertical="center"/>
    </x:xf>
    <x:xf numFmtId="165" fontId="16" fillId="4" borderId="18" xfId="0" applyNumberFormat="1" applyFont="1" applyFill="1" applyBorder="1" applyAlignment="1">
      <x:alignment horizontal="right" vertical="center"/>
    </x:xf>
    <x:xf numFmtId="0" fontId="11" fillId="4" borderId="14" xfId="0" applyFont="1" applyFill="1" applyBorder="1" applyAlignment="1">
      <x:alignment horizontal="right" vertical="center"/>
    </x:xf>
    <x:xf numFmtId="170" fontId="13" fillId="4" borderId="14" xfId="0" applyNumberFormat="1" applyFont="1" applyFill="1" applyBorder="1" applyAlignment="1">
      <x:alignment horizontal="right" vertical="center"/>
    </x:xf>
    <x:xf numFmtId="0" fontId="5" fillId="4" borderId="17" xfId="0" applyFont="1" applyFill="1" applyBorder="1" applyAlignment="1">
      <x:alignment horizontal="left" vertical="center"/>
    </x:xf>
    <x:xf numFmtId="165" fontId="15" fillId="4" borderId="14" xfId="0" applyNumberFormat="1" applyFont="1" applyFill="1" applyBorder="1" applyAlignment="1">
      <x:alignment horizontal="right" vertical="center"/>
    </x:xf>
    <x:xf numFmtId="0" fontId="5" fillId="4" borderId="14" xfId="0" applyFont="1" applyFill="1" applyBorder="1" applyAlignment="1">
      <x:alignment horizontal="left" vertical="center"/>
    </x:xf>
    <x:xf numFmtId="166" fontId="16" fillId="4" borderId="14" xfId="0" applyNumberFormat="1" applyFont="1" applyFill="1" applyBorder="1" applyAlignment="1">
      <x:alignment horizontal="right" vertical="center"/>
    </x:xf>
    <x:xf numFmtId="167" fontId="12" fillId="5" borderId="16" xfId="0" applyNumberFormat="1" applyFont="1" applyFill="1" applyBorder="1" applyAlignment="1">
      <x:alignment horizontal="right" vertical="center"/>
    </x:xf>
    <x:xf numFmtId="165" fontId="12" fillId="5" borderId="16" xfId="0" applyNumberFormat="1" applyFont="1" applyFill="1" applyBorder="1" applyAlignment="1">
      <x:alignment horizontal="right" vertical="center"/>
    </x:xf>
    <x:xf numFmtId="168" fontId="12" fillId="5" borderId="16" xfId="0" applyNumberFormat="1" applyFont="1" applyFill="1" applyBorder="1" applyAlignment="1">
      <x:alignment horizontal="right" vertical="center"/>
    </x:xf>
    <x:xf numFmtId="0" fontId="10" fillId="2" borderId="14" xfId="0" applyFont="1" applyFill="1" applyBorder="1" applyAlignment="1">
      <x:alignment horizontal="left" vertical="center" wrapText="1"/>
    </x:xf>
    <x:xf numFmtId="0" fontId="11" fillId="4" borderId="4" xfId="0" applyFont="1" applyFill="1" applyBorder="1" applyAlignment="1">
      <x:alignment horizontal="center"/>
    </x:xf>
    <x:xf numFmtId="0" fontId="10" fillId="7" borderId="14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vertical="center"/>
    </x:xf>
    <x:xf numFmtId="0" fontId="17" fillId="2" borderId="1" xfId="0" applyFont="1" applyFill="1" applyBorder="1" applyAlignment="1">
      <x:alignment vertical="center"/>
    </x:xf>
    <x:xf numFmtId="0" fontId="11" fillId="4" borderId="19" xfId="0" applyFont="1" applyFill="1" applyBorder="1" applyAlignment="1">
      <x:alignment horizontal="left" vertical="center" wrapText="1"/>
    </x:xf>
    <x:xf numFmtId="168" fontId="12" fillId="5" borderId="20" xfId="0" applyNumberFormat="1" applyFont="1" applyFill="1" applyBorder="1" applyAlignment="1">
      <x:alignment horizontal="right" vertical="center" wrapText="1"/>
    </x:xf>
    <x:xf numFmtId="168" fontId="13" fillId="4" borderId="19" xfId="0" applyNumberFormat="1" applyFont="1" applyFill="1" applyBorder="1" applyAlignment="1">
      <x:alignment horizontal="right" vertical="center" wrapText="1"/>
    </x:xf>
    <x:xf numFmtId="0" fontId="5" fillId="3" borderId="19" xfId="0" applyFont="1" applyFill="1" applyBorder="1" applyAlignment="1">
      <x:alignment horizontal="left" vertical="center" wrapText="1"/>
    </x:xf>
    <x:xf numFmtId="0" fontId="12" fillId="5" borderId="20" xfId="0" applyFont="1" applyFill="1" applyBorder="1" applyAlignment="1">
      <x:alignment horizontal="right"/>
    </x:xf>
    <x:xf numFmtId="0" fontId="4" fillId="0" borderId="4" xfId="0" applyFont="1" applyBorder="1"/>
    <x:xf numFmtId="0" fontId="0" fillId="0" borderId="4" xfId="0" applyBorder="1"/>
    <x:xf numFmtId="0" fontId="1" fillId="2" borderId="4" xfId="0" applyFont="1" applyFill="1" applyBorder="1" applyAlignment="1">
      <x:alignment vertical="center"/>
    </x:xf>
    <x:xf numFmtId="0" fontId="17" fillId="2" borderId="4" xfId="0" applyFont="1" applyFill="1" applyBorder="1" applyAlignment="1">
      <x:alignment vertical="center"/>
    </x:xf>
    <x:xf numFmtId="0" fontId="3" fillId="2" borderId="4" xfId="0" applyFont="1" applyFill="1" applyBorder="1" applyAlignment="1">
      <x:alignment vertical="center"/>
    </x:xf>
    <x:xf numFmtId="0" fontId="9" fillId="2" borderId="4" xfId="0" applyFont="1" applyFill="1" applyBorder="1" applyAlignment="1">
      <x:alignment vertical="center"/>
    </x:xf>
    <x:xf numFmtId="0" fontId="10" fillId="2" borderId="21" xfId="0" applyFont="1" applyFill="1" applyBorder="1" applyAlignment="1">
      <x:alignment horizontal="center" vertical="center" wrapText="1"/>
    </x:xf>
    <x:xf numFmtId="0" fontId="10" fillId="2" borderId="22" xfId="0" applyFont="1" applyFill="1" applyBorder="1" applyAlignment="1">
      <x:alignment horizontal="center" vertical="center" wrapText="1"/>
    </x:xf>
    <x:xf numFmtId="0" fontId="10" fillId="2" borderId="23" xfId="0" applyFont="1" applyFill="1" applyBorder="1" applyAlignment="1">
      <x:alignment horizontal="center" vertical="center" wrapText="1"/>
    </x:xf>
    <x:xf numFmtId="170" fontId="11" fillId="4" borderId="14" xfId="0" applyNumberFormat="1" applyFont="1" applyFill="1" applyBorder="1" applyAlignment="1">
      <x:alignment horizontal="right" vertical="center" wrapText="1"/>
    </x:xf>
    <x:xf numFmtId="165" fontId="11" fillId="4" borderId="14" xfId="0" applyNumberFormat="1" applyFont="1" applyFill="1" applyBorder="1" applyAlignment="1">
      <x:alignment horizontal="right" vertical="center" wrapText="1"/>
    </x:xf>
    <x:xf numFmtId="166" fontId="11" fillId="4" borderId="14" xfId="0" applyNumberFormat="1" applyFont="1" applyFill="1" applyBorder="1" applyAlignment="1">
      <x:alignment horizontal="right" vertical="center" wrapText="1"/>
    </x:xf>
    <x:xf numFmtId="0" fontId="11" fillId="4" borderId="14" xfId="0" applyFont="1" applyFill="1" applyBorder="1" applyAlignment="1">
      <x:alignment horizontal="center" vertical="center" wrapText="1"/>
    </x:xf>
    <x:xf numFmtId="0" fontId="5" fillId="4" borderId="25" xfId="0" applyFont="1" applyFill="1" applyBorder="1" applyAlignment="1">
      <x:alignment horizontal="left" vertical="center"/>
    </x:xf>
    <x:xf numFmtId="170" fontId="16" fillId="4" borderId="25" xfId="0" applyNumberFormat="1" applyFont="1" applyFill="1" applyBorder="1" applyAlignment="1">
      <x:alignment horizontal="right" vertical="center"/>
    </x:xf>
    <x:xf numFmtId="0" fontId="11" fillId="4" borderId="19" xfId="0" applyFont="1" applyFill="1" applyBorder="1" applyAlignment="1">
      <x:alignment horizontal="left" vertical="center"/>
    </x:xf>
    <x:xf numFmtId="0" fontId="11" fillId="4" borderId="19" xfId="0" applyFont="1" applyFill="1" applyBorder="1" applyAlignment="1">
      <x:alignment horizontal="right" vertical="center"/>
    </x:xf>
    <x:xf numFmtId="0" fontId="18" fillId="4" borderId="14" xfId="0" applyFont="1" applyFill="1" applyBorder="1" applyAlignment="1">
      <x:alignment horizontal="left" vertical="center"/>
    </x:xf>
    <x:xf numFmtId="167" fontId="18" fillId="4" borderId="14" xfId="0" applyNumberFormat="1" applyFont="1" applyFill="1" applyBorder="1" applyAlignment="1">
      <x:alignment horizontal="right" vertical="center"/>
    </x:xf>
    <x:xf numFmtId="166" fontId="7" fillId="4" borderId="8" xfId="0" applyNumberFormat="1" applyFont="1" applyFill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3" xfId="0" applyFont="1" applyBorder="1"/>
    <x:xf numFmtId="0" fontId="9" fillId="2" borderId="1" xfId="0" applyFont="1" applyFill="1" applyBorder="1" applyAlignment="1">
      <x:alignment horizontal="left" vertical="center"/>
    </x:xf>
    <x:xf numFmtId="0" fontId="2" fillId="0" borderId="2" xfId="0" applyFont="1" applyBorder="1"/>
    <x:xf numFmtId="0" fontId="2" fillId="0" borderId="3" xfId="0" applyFont="1" applyBorder="1"/>
    <x:xf numFmtId="0" fontId="5" fillId="4" borderId="1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/>
    </x:xf>
    <x:xf numFmtId="0" fontId="2" fillId="0" borderId="6" xfId="0" applyFont="1" applyBorder="1"/>
    <x:xf numFmtId="0" fontId="2" fillId="0" borderId="7" xfId="0" applyFont="1" applyBorder="1"/>
    <x:xf numFmtId="165" fontId="7" fillId="4" borderId="8" xfId="0" applyNumberFormat="1" applyFont="1" applyFill="1" applyBorder="1" applyAlignment="1">
      <x:alignment horizontal="center" vertical="center"/>
    </x:xf>
    <x:xf numFmtId="0" fontId="2" fillId="0" borderId="9" xfId="0" applyFont="1" applyBorder="1"/>
    <x:xf numFmtId="0" fontId="2" fillId="0" borderId="12" xfId="0" applyFont="1" applyBorder="1"/>
    <x:xf numFmtId="165" fontId="8" fillId="4" borderId="8" xfId="0" applyNumberFormat="1" applyFont="1" applyFill="1" applyBorder="1" applyAlignment="1">
      <x:alignment horizontal="center" vertical="center"/>
    </x:xf>
    <x:xf numFmtId="0" fontId="11" fillId="3" borderId="5" xfId="0" applyFont="1" applyFill="1" applyBorder="1" applyAlignment="1">
      <x:alignment horizontal="left" vertical="center" wrapText="1"/>
    </x:xf>
    <x:xf numFmtId="0" fontId="5" fillId="4" borderId="5" xfId="0" applyFont="1" applyFill="1" applyBorder="1" applyAlignment="1">
      <x:alignment horizontal="left" vertical="center"/>
    </x:xf>
    <x:xf numFmtId="0" fontId="5" fillId="6" borderId="24" xfId="0" applyFont="1" applyFill="1" applyBorder="1" applyAlignment="1">
      <x:alignment horizontal="center" vertical="center" wrapText="1"/>
    </x:xf>
    <x:xf numFmtId="0" fontId="5" fillId="6" borderId="19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/>
    </x:xf>
    <x:xf numFmtId="0" fontId="11" fillId="3" borderId="8" xfId="0" applyFont="1" applyFill="1" applyBorder="1" applyAlignment="1">
      <x:alignment horizontal="left" vertical="center" wrapText="1"/>
    </x:xf>
    <x:xf numFmtId="0" fontId="11" fillId="3" borderId="24" xfId="0" applyFont="1" applyFill="1" applyBorder="1" applyAlignment="1">
      <x:alignment horizontal="center" vertical="center" wrapText="1"/>
    </x:xf>
    <x:xf numFmtId="0" fontId="11" fillId="3" borderId="19" xfId="0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9" fillId="8" borderId="0" xfId="0" applyNumberFormat="1" applyFont="1" applyFill="1" applyBorder="1"/>
    <x:xf numFmtId="0" fontId="20" fillId="8" borderId="0" xfId="0" applyNumberFormat="1" applyFont="1" applyFill="1" applyBorder="1"/>
    <x:xf numFmtId="0" fontId="20" fillId="8" borderId="0" xfId="0" applyNumberFormat="1" applyFont="1" applyFill="1" applyBorder="1" applyAlignment="1">
      <x:alignment horizontal="left"/>
    </x:xf>
    <x:xf numFmtId="0" fontId="20" fillId="8" borderId="0" xfId="0" applyNumberFormat="1" applyFont="1" applyFill="1" applyBorder="1" applyAlignment="1">
      <x:alignment horizontal="left" vertical="center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2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2" fillId="9" borderId="26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19" fillId="8" borderId="0" xfId="0" applyNumberFormat="1" applyFont="1" applyFill="1" applyBorder="1" applyAlignment="1">
      <x:alignment wrapText="1"/>
    </x:xf>
    <x:xf numFmtId="0" fontId="19" fillId="8" borderId="0" xfId="0" applyNumberFormat="1" applyFont="1" applyFill="1" applyBorder="1" applyAlignment="1">
      <x:alignment horizontal="center" wrapText="1"/>
    </x:xf>
    <x:xf numFmtId="0" fontId="19" fillId="8" borderId="0" xfId="0" applyNumberFormat="1" applyFont="1" applyFill="1" applyBorder="1" applyAlignment="1">
      <x:alignment horizontal="center" vertical="center" wrapText="1"/>
    </x:xf>
    <x:xf numFmtId="0" fontId="19" fillId="8" borderId="2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3" fillId="10" borderId="0" xfId="0" applyNumberFormat="1" applyFont="1" applyFill="1" applyBorder="1"/>
    <x:xf numFmtId="200" fontId="23" fillId="10" borderId="0" xfId="0" applyNumberFormat="1" applyFont="1" applyFill="1" applyBorder="1"/>
    <x:xf numFmtId="201" fontId="23" fillId="10" borderId="0" xfId="0" applyNumberFormat="1" applyFont="1" applyFill="1" applyBorder="1"/>
    <x:xf numFmtId="202" fontId="23" fillId="10" borderId="0" xfId="0" applyNumberFormat="1" applyFont="1" applyFill="1" applyBorder="1"/>
    <x:xf numFmtId="0" fontId="19" fillId="8" borderId="26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/>
    <x:xf numFmtId="202" fontId="23" fillId="10" borderId="26" xfId="0" applyNumberFormat="1" applyFont="1" applyFill="1" applyBorder="1"/>
    <x:xf numFmtId="201" fontId="23" fillId="10" borderId="26" xfId="0" applyNumberFormat="1" applyFont="1" applyFill="1" applyBorder="1"/>
    <x:xf numFmtId="200" fontId="23" fillId="10" borderId="26" xfId="0" applyNumberFormat="1" applyFont="1" applyFill="1" applyBorder="1"/>
    <x:xf numFmtId="0" fontId="0" fillId="0" borderId="0" xfId="0" applyNumberFormat="1" applyFont="1" applyFill="1" applyBorder="1"/>
    <x:xf numFmtId="0" fontId="24" fillId="0" borderId="0" xfId="0" applyNumberFormat="1" applyFont="1" applyFill="1" applyBorder="1"/>
    <x:xf numFmtId="202" fontId="24" fillId="0" borderId="0" xfId="0" applyNumberFormat="1" applyFont="1" applyFill="1" applyBorder="1"/>
    <x:xf numFmtId="201" fontId="24" fillId="0" borderId="0" xfId="0" applyNumberFormat="1" applyFont="1" applyFill="1" applyBorder="1"/>
    <x:xf numFmtId="202" fontId="24" fillId="0" borderId="26" xfId="0" applyNumberFormat="1" applyFont="1" applyFill="1" applyBorder="1"/>
    <x:xf numFmtId="0" fontId="24" fillId="0" borderId="26" xfId="0" applyNumberFormat="1" applyFont="1" applyFill="1" applyBorder="1"/>
    <x:xf numFmtId="201" fontId="24" fillId="0" borderId="26" xfId="0" applyNumberFormat="1" applyFont="1" applyFill="1" applyBorder="1"/>
    <x:xf numFmtId="0" fontId="0" fillId="11" borderId="0" xfId="0" applyNumberFormat="1" applyFont="1" applyFill="1" applyBorder="1"/>
    <x:xf numFmtId="0" fontId="22" fillId="11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24" fillId="0" borderId="0" xfId="0" applyNumberFormat="1" applyFont="1" applyFill="1" applyBorder="1"/>
    <x:xf numFmtId="204" fontId="24" fillId="0" borderId="26" xfId="0" applyNumberFormat="1" applyFont="1" applyFill="1" applyBorder="1"/>
    <x:xf numFmtId="202" fontId="0" fillId="0" borderId="26" xfId="0" applyNumberFormat="1" applyFont="1" applyFill="1" applyBorder="1"/>
    <x:xf numFmtId="203" fontId="24" fillId="0" borderId="0" xfId="0" applyNumberFormat="1" applyFont="1" applyFill="1" applyBorder="1"/>
    <x:xf numFmtId="0" fontId="20" fillId="8" borderId="0" xfId="0" applyNumberFormat="1" applyFont="1" applyFill="1" applyBorder="1" applyAlignment="1">
      <x:alignment horizontal="left" vertical="center" wrapText="0"/>
    </x:xf>
    <x:xf numFmtId="0" fontId="21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2" fillId="9" borderId="26" xfId="0" applyNumberFormat="1" applyFont="1" applyFill="1" applyBorder="1" applyAlignment="1">
      <x:alignment wrapText="0"/>
    </x:xf>
    <x:xf numFmtId="0" fontId="0" fillId="0" borderId="26" xfId="0" applyNumberFormat="1" applyFont="1" applyFill="1" applyBorder="1" applyAlignment="1">
      <x:alignment wrapText="0"/>
    </x:xf>
    <x:xf numFmtId="0" fontId="0" fillId="9" borderId="0" xfId="0" applyNumberFormat="1" applyFont="1" applyFill="1" applyBorder="1" applyAlignment="1">
      <x:alignment vertical="top" wrapText="0"/>
    </x:xf>
    <x:xf numFmtId="0" fontId="19" fillId="8" borderId="27" xfId="0" applyNumberFormat="1" applyFont="1" applyFill="1" applyBorder="1" applyAlignment="1">
      <x:alignment horizontal="center" vertical="center" wrapText="0"/>
    </x:xf>
    <x:xf numFmtId="202" fontId="24" fillId="0" borderId="26" xfId="0" applyNumberFormat="1" applyFont="1" applyFill="1" applyBorder="1" applyAlignment="1">
      <x:alignment wrapText="0"/>
    </x:xf>
    <x:xf numFmtId="0" fontId="24" fillId="0" borderId="26" xfId="0" applyNumberFormat="1" applyFont="1" applyFill="1" applyBorder="1" applyAlignment="1">
      <x:alignment wrapText="0"/>
    </x:xf>
    <x:xf numFmtId="201" fontId="24" fillId="0" borderId="26" xfId="0" applyNumberFormat="1" applyFont="1" applyFill="1" applyBorder="1" applyAlignment="1">
      <x:alignment wrapText="0"/>
    </x:xf>
    <x:xf numFmtId="0" fontId="19" fillId="8" borderId="26" xfId="0" applyNumberFormat="1" applyFont="1" applyFill="1" applyBorder="1" applyAlignment="1">
      <x:alignment horizontal="center" vertical="center" wrapText="0"/>
    </x:xf>
    <x:xf numFmtId="202" fontId="23" fillId="10" borderId="26" xfId="0" applyNumberFormat="1" applyFont="1" applyFill="1" applyBorder="1" applyAlignment="1">
      <x:alignment wrapText="0"/>
    </x:xf>
    <x:xf numFmtId="201" fontId="23" fillId="10" borderId="26" xfId="0" applyNumberFormat="1" applyFont="1" applyFill="1" applyBorder="1" applyAlignment="1">
      <x:alignment wrapText="0"/>
    </x:xf>
    <x:xf numFmtId="200" fontId="23" fillId="10" borderId="26" xfId="0" applyNumberFormat="1" applyFont="1" applyFill="1" applyBorder="1" applyAlignment="1">
      <x:alignment wrapText="0"/>
    </x:xf>
    <x:xf numFmtId="0" fontId="23" fillId="10" borderId="0" xfId="0" applyNumberFormat="1" applyFont="1" applyFill="1" applyBorder="1" applyAlignment="1">
      <x:alignment wrapText="0"/>
    </x:xf>
    <x:xf numFmtId="201" fontId="23" fillId="10" borderId="0" xfId="0" applyNumberFormat="1" applyFont="1" applyFill="1" applyBorder="1" applyAlignment="1">
      <x:alignment wrapText="0"/>
    </x:xf>
    <x:xf numFmtId="202" fontId="23" fillId="10" borderId="0" xfId="0" applyNumberFormat="1" applyFont="1" applyFill="1" applyBorder="1" applyAlignment="1">
      <x:alignment wrapText="0"/>
    </x:xf>
    <x:xf numFmtId="0" fontId="22" fillId="11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26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4" fontId="24" fillId="0" borderId="26" xfId="0" applyNumberFormat="1" applyFont="1" applyFill="1" applyBorder="1" applyAlignment="1">
      <x:alignment wrapText="0"/>
    </x:xf>
    <x:xf numFmtId="202" fontId="24" fillId="0" borderId="0" xfId="0" applyNumberFormat="1" applyFont="1" applyFill="1" applyBorder="1" applyAlignment="1">
      <x:alignment wrapText="0"/>
    </x:xf>
    <x:xf numFmtId="203" fontId="24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1"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4F5B66"/>
      </x:font>
      <x:fill>
        <x:patternFill>
          <x:bgColor rgb="FFE7EBEF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b238318d34119" /><Relationship Type="http://schemas.openxmlformats.org/officeDocument/2006/relationships/theme" Target="/xl/theme/theme1.xml" Id="R3034fbcc65374cc8" /><Relationship Type="http://schemas.openxmlformats.org/officeDocument/2006/relationships/sharedStrings" Target="/xl/sharedStrings.xml" Id="R6d0d67d672c44960" /><Relationship Type="http://schemas.openxmlformats.org/officeDocument/2006/relationships/worksheet" Target="/xl/worksheets/sheet1.xml" Id="R8b056cfcc07a4179" /><Relationship Type="http://schemas.openxmlformats.org/officeDocument/2006/relationships/worksheet" Target="/xl/worksheets/sheet2.xml" Id="Rcad05bd5bdc743b4" /><Relationship Type="http://schemas.openxmlformats.org/officeDocument/2006/relationships/worksheet" Target="/xl/worksheets/sheet3.xml" Id="Ra1af251f38494eff" /><Relationship Type="http://schemas.openxmlformats.org/officeDocument/2006/relationships/worksheet" Target="/xl/worksheets/sheet4.xml" Id="Rddc20dd41ea54d4c" /><Relationship Type="http://schemas.openxmlformats.org/officeDocument/2006/relationships/worksheet" Target="/xl/worksheets/sheet5.xml" Id="R94468e7b746d4662" /><Relationship Type="http://schemas.openxmlformats.org/officeDocument/2006/relationships/worksheet" Target="/xl/worksheets/sheet6.xml" Id="R1511d535c8154ab1" /><Relationship Type="http://schemas.openxmlformats.org/officeDocument/2006/relationships/worksheet" Target="/xl/worksheets/sheet7.xml" Id="R7c3da0bc10764053" /><Relationship Type="http://schemas.openxmlformats.org/officeDocument/2006/relationships/worksheet" Target="/xl/worksheets/sheet8.xml" Id="R4d3df95d250c418b" /><Relationship Type="http://schemas.openxmlformats.org/officeDocument/2006/relationships/worksheet" Target="/xl/worksheets/sheet9.xml" Id="Rfdd99857dfcc4797" /><Relationship Type="http://schemas.openxmlformats.org/officeDocument/2006/relationships/worksheet" Target="/xl/worksheets/sheet10.xml" Id="Re48aafcbc9d14549" /><Relationship Type="http://schemas.openxmlformats.org/officeDocument/2006/relationships/worksheet" Target="/xl/worksheets/sheet11.xml" Id="Rd91d708901374937" /><Relationship Type="http://schemas.openxmlformats.org/officeDocument/2006/relationships/worksheet" Target="/xl/worksheets/sheet12.xml" Id="R593835fa599e4425" /><Relationship Type="http://schemas.openxmlformats.org/officeDocument/2006/relationships/worksheet" Target="/xl/worksheets/sheet13.xml" Id="R44582c5e373645e8" /><Relationship Type="http://schemas.openxmlformats.org/officeDocument/2006/relationships/worksheet" Target="/xl/worksheets/sheet14.xml" Id="R2d0fdbf365ac454f" /><Relationship Type="http://schemas.openxmlformats.org/officeDocument/2006/relationships/worksheet" Target="/xl/worksheets/sheet15.xml" Id="R0274c130765b46bb" /><Relationship Type="http://schemas.openxmlformats.org/officeDocument/2006/relationships/worksheet" Target="/xl/worksheets/sheet16.xml" Id="Reec104fe1ced4718" /><Relationship Type="http://schemas.openxmlformats.org/officeDocument/2006/relationships/worksheet" Target="/xl/worksheets/sheet17.xml" Id="R060d1ebe3d1a40b4" /><Relationship Type="http://schemas.openxmlformats.org/officeDocument/2006/relationships/worksheet" Target="/xl/worksheets/sheet18.xml" Id="Rb71f6962665a4c3f" /><Relationship Type="http://schemas.openxmlformats.org/officeDocument/2006/relationships/worksheet" Target="/xl/worksheets/sheet19.xml" Id="R384432fa1dbf4a3b" /><Relationship Type="http://schemas.openxmlformats.org/officeDocument/2006/relationships/worksheet" Target="/xl/worksheets/sheet20.xml" Id="Ra3b49edccf084e08" /><Relationship Type="http://schemas.openxmlformats.org/officeDocument/2006/relationships/worksheet" Target="/xl/worksheets/sheet21.xml" Id="R1048be2ba8e843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6143eeafe54e44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Bookings vs. Recognized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Bookings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Summary!$B$14:$B$25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Summary!$C$14:$C$25</c:f>
              <c:numCache>
                <c:formatCode>\$#,##0;[Red]\(\$#,##0\);\-</c:formatCode>
                <c:ptCount val="12"/>
                <c:pt idx="0">
                  <c:v>1845</c:v>
                </c:pt>
                <c:pt idx="1">
                  <c:v>1913</c:v>
                </c:pt>
                <c:pt idx="2">
                  <c:v>1946</c:v>
                </c:pt>
                <c:pt idx="3">
                  <c:v>2140</c:v>
                </c:pt>
                <c:pt idx="4">
                  <c:v>2340</c:v>
                </c:pt>
                <c:pt idx="5">
                  <c:v>2262</c:v>
                </c:pt>
                <c:pt idx="6">
                  <c:v>2244</c:v>
                </c:pt>
                <c:pt idx="7">
                  <c:v>2244</c:v>
                </c:pt>
                <c:pt idx="8">
                  <c:v>2278</c:v>
                </c:pt>
                <c:pt idx="9">
                  <c:v>2278</c:v>
                </c:pt>
                <c:pt idx="10">
                  <c:v>2312</c:v>
                </c:pt>
                <c:pt idx="11">
                  <c:v>2312</c:v>
                </c:pt>
              </c:numCache>
            </c:numRef>
          </c:val>
          <c:smooth val="0"/>
        </c:ser>
        <c:ser>
          <c:idx val="1"/>
          <c:order val="1"/>
          <c:tx>
            <c:v>Recognized Revenue</c:v>
          </c:tx>
          <c:spPr>
            <a:ln xmlns:a="http://schemas.openxmlformats.org/drawingml/2006/main"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Summary!$B$14:$B$25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Summary!$D$14:$D$25</c:f>
              <c:numCache>
                <c:formatCode>\$#,##0;[Red]\(\$#,##0\);\-</c:formatCode>
                <c:ptCount val="12"/>
                <c:pt idx="0">
                  <c:v>1560</c:v>
                </c:pt>
                <c:pt idx="1">
                  <c:v>1630</c:v>
                </c:pt>
                <c:pt idx="2">
                  <c:v>1685</c:v>
                </c:pt>
                <c:pt idx="3">
                  <c:v>1750</c:v>
                </c:pt>
                <c:pt idx="4">
                  <c:v>1830</c:v>
                </c:pt>
                <c:pt idx="5">
                  <c:v>1915</c:v>
                </c:pt>
                <c:pt idx="6">
                  <c:v>1840.08</c:v>
                </c:pt>
                <c:pt idx="7">
                  <c:v>1840.08</c:v>
                </c:pt>
                <c:pt idx="8">
                  <c:v>1867.9599999999998</c:v>
                </c:pt>
                <c:pt idx="9">
                  <c:v>1867.9599999999998</c:v>
                </c:pt>
                <c:pt idx="10">
                  <c:v>1895.84</c:v>
                </c:pt>
                <c:pt idx="11">
                  <c:v>1895.84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913768"/>
        <c:axId val="759150831"/>
      </c:lineChart>
      <c:catAx>
        <c:axId val="1326913768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759150831"/>
        <c:crosses val="autoZero"/>
        <c:lblOffset val="100"/>
      </c:catAx>
      <c:valAx>
        <c:axId val="75915083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$0.0,&quot;M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326913768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1A1A1A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8</xdr:col>
      <xdr:colOff>203200</xdr:colOff>
      <xdr:row>12</xdr:row>
      <xdr:rowOff>0</xdr:rowOff>
    </xdr:from>
    <xdr:ext cx="6400800" cy="42037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6143eeafe54e4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bb14af3305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28" hidden="0" customWidth="1"/>
    <x:col min="2" max="2" width="20" hidden="0" customWidth="1"/>
    <x:col min="3" max="3" width="14" hidden="0" customWidth="1"/>
    <x:col min="4" max="4" width="34" hidden="0" customWidth="1"/>
    <x:col min="5" max="6" width="15" customWidth="1"/>
    <x:col min="7" max="7" width="16" customWidth="1"/>
    <x:col min="8" max="8" width="14" customWidth="1"/>
    <x:col min="9" max="9" width="3" customWidth="1"/>
    <x:col min="10" max="15" width="14" customWidth="1"/>
    <x:col min="16" max="27" width="8.83203125" customWidth="1"/>
  </x:cols>
  <x:sheetData>
    <x:row r="1" ht="28" customHeight="1">
      <x:c r="A1" s="144" t="str">
        <x:v>Executive Summary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</x:row>
    <x:row r="2" ht="24.75" customHeight="1">
      <x:c r="A2" s="145" t="str">
        <x:v>Formula-driven lender view | Scenario: Scenario_Control!B5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</x:row>
    <x:row r="3" ht="24.75" customHeight="1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</x:row>
    <x:row r="4" ht="13.5" customHeight="1">
      <x:c r="A4" s="150" t="str">
        <x:v>Metric</x:v>
      </x:c>
      <x:c r="B4" s="150" t="str">
        <x:v>Value</x:v>
      </x:c>
      <x:c r="C4" s="150" t="str">
        <x:v>Units</x:v>
      </x:c>
      <x:c r="D4" s="150" t="str">
        <x:v>Decision relevance</x:v>
      </x:c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</x:row>
    <x:row r="5" ht="24" customHeight="1">
      <x:c r="A5" s="148" t="str">
        <x:v>SPV capitalization</x:v>
      </x:c>
      <x:c r="B5" s="151" t="n">
        <x:f>'Assumptions'!B5</x:f>
        <x:v>9000000</x:v>
      </x:c>
      <x:c r="C5" s="148" t="str">
        <x:v>USD</x:v>
      </x:c>
      <x:c r="D5" s="148" t="str">
        <x:v>Primary facility</x:v>
      </x:c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</x:row>
    <x:row r="6" ht="13.5" customHeight="1">
      <x:c r="A6" s="148" t="str">
        <x:v>Eligible receivables</x:v>
      </x:c>
      <x:c r="B6" s="151" t="n">
        <x:f>B5/'Assumptions'!B9</x:f>
        <x:v>12000000</x:v>
      </x:c>
      <x:c r="C6" s="148" t="str">
        <x:v>USD</x:v>
      </x:c>
      <x:c r="D6" s="148" t="str">
        <x:v>75% advance-rate convention</x:v>
      </x:c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</x:row>
    <x:row r="7" ht="19.5" customHeight="1">
      <x:c r="A7" s="148" t="str">
        <x:v>Class A notes</x:v>
      </x:c>
      <x:c r="B7" s="151" t="n">
        <x:f>B5*'Assumptions'!B6</x:f>
        <x:v>6750000</x:v>
      </x:c>
      <x:c r="C7" s="148" t="str">
        <x:v>USD</x:v>
      </x:c>
      <x:c r="D7" s="148" t="str">
        <x:v>Senior principal</x:v>
      </x:c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</x:row>
    <x:row r="8" ht="25.5" customHeight="1">
      <x:c r="A8" s="148" t="str">
        <x:v>Class B notes</x:v>
      </x:c>
      <x:c r="B8" s="151" t="n">
        <x:f>B5*'Assumptions'!B7</x:f>
        <x:v>1350000</x:v>
      </x:c>
      <x:c r="C8" s="148" t="str">
        <x:v>USD</x:v>
      </x:c>
      <x:c r="D8" s="148" t="str">
        <x:v>Mezzanine principal</x:v>
      </x:c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</x:row>
    <x:row r="9" ht="25.5" customHeight="1">
      <x:c r="A9" s="148" t="str">
        <x:v>Class C equity</x:v>
      </x:c>
      <x:c r="B9" s="151" t="n">
        <x:f>B5*'Assumptions'!B8</x:f>
        <x:v>900000</x:v>
      </x:c>
      <x:c r="C9" s="148" t="str">
        <x:v>USD</x:v>
      </x:c>
      <x:c r="D9" s="148" t="str">
        <x:v>First-loss protection</x:v>
      </x:c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</x:row>
    <x:row r="10" ht="13.5" customHeight="1">
      <x:c r="A10" s="148" t="str">
        <x:v>OC ratio</x:v>
      </x:c>
      <x:c r="B10" s="152" t="n">
        <x:f>B6/(B7+B8)</x:f>
        <x:v>1.4814814814814814</x:v>
      </x:c>
      <x:c r="C10" s="148" t="str">
        <x:v>x</x:v>
      </x:c>
      <x:c r="D10" s="148" t="str">
        <x:v>Target &gt;= 1.25x</x:v>
      </x:c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</x:row>
    <x:row r="11" ht="13.5" customHeight="1">
      <x:c r="A11" s="148" t="str">
        <x:v>CRA requirement</x:v>
      </x:c>
      <x:c r="B11" s="151" t="str">
        <x:f>'Reserves_OC'!D6</x:f>
        <x:v>Class A + Class B</x:v>
      </x:c>
      <x:c r="C11" s="148" t="str">
        <x:v>KES</x:v>
      </x:c>
      <x:c r="D11" s="148" t="str">
        <x:v>Three months debt service</x:v>
      </x:c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</x:row>
    <x:row r="12" ht="13.5" customHeight="1">
      <x:c r="A12" s="148" t="str">
        <x:v>Gross portfolio yield</x:v>
      </x:c>
      <x:c r="B12" s="153" t="n">
        <x:f>'Collections_Losses'!D8</x:f>
        <x:v>111326400</x:v>
      </x:c>
      <x:c r="C12" s="148" t="str">
        <x:v>%</x:v>
      </x:c>
      <x:c r="D12" s="148" t="str">
        <x:v>Weighted asset yield</x:v>
      </x:c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</x:row>
    <x:row r="13" ht="30" customHeight="1">
      <x:c r="A13" s="148" t="str">
        <x:v>Expected loss</x:v>
      </x:c>
      <x:c r="B13" s="153" t="n">
        <x:f>'Collections_Losses'!D9</x:f>
        <x:v>278316000</x:v>
      </x:c>
      <x:c r="C13" s="148" t="str">
        <x:v>%</x:v>
      </x:c>
      <x:c r="D13" s="148" t="str">
        <x:v>Scenario-adjusted</x:v>
      </x:c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</x:row>
    <x:row r="14" ht="25" customHeight="1">
      <x:c r="A14" s="148" t="str">
        <x:v>Minimum DSCR</x:v>
      </x:c>
      <x:c r="B14" s="152" t="n">
        <x:f>MIN('Covenants'!D12:AM12)</x:f>
        <x:v>6750000</x:v>
      </x:c>
      <x:c r="C14" s="148" t="str">
        <x:v>x</x:v>
      </x:c>
      <x:c r="D14" s="148" t="str">
        <x:v>Debt service resilience</x:v>
      </x:c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</x:row>
    <x:row r="15" ht="25" customHeight="1">
      <x:c r="A15" s="148" t="str">
        <x:v>Platform concentration</x:v>
      </x:c>
      <x:c r="B15" s="152" t="str">
        <x:f>'Covenants'!D16</x:f>
        <x:v>Direct Bayesian spline</x:v>
      </x:c>
      <x:c r="C15" s="148" t="str">
        <x:v>%</x:v>
      </x:c>
      <x:c r="D15" s="148" t="str">
        <x:v>Limit 25%</x:v>
      </x:c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</x:row>
    <x:row r="16" ht="25" customHeight="1">
      <x:c r="A16" s="148" t="str">
        <x:v>Geographic concentration</x:v>
      </x:c>
      <x:c r="B16" s="152" t="str">
        <x:f>'Covenants'!D17</x:f>
        <x:v>Post-Bayesian rules</x:v>
      </x:c>
      <x:c r="C16" s="148" t="str">
        <x:v>%</x:v>
      </x:c>
      <x:c r="D16" s="148" t="str">
        <x:v>Limit 15%</x:v>
      </x:c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</x:row>
    <x:row r="17" ht="25" customHeight="1">
      <x:c r="A17" s="148" t="str">
        <x:v>PSI status</x:v>
      </x:c>
      <x:c r="B17" s="152" t="str">
        <x:f>'Covenants'!D18</x:f>
        <x:v>Legacy label removed</x:v>
      </x:c>
      <x:c r="C17" s="148" t="str">
        <x:v>status</x:v>
      </x:c>
      <x:c r="D17" s="148" t="str">
        <x:v>Model governance</x:v>
      </x:c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</x:row>
    <x:row r="18" ht="25" customHeight="1">
      <x:c r="A18" s="148" t="str">
        <x:v>NPL status</x:v>
      </x:c>
      <x:c r="B18" s="152" t="str">
        <x:f>'Covenants'!D19</x:f>
        <x:v>Highest-priority failure</x:v>
      </x:c>
      <x:c r="C18" s="148" t="str">
        <x:v>status</x:v>
      </x:c>
      <x:c r="D18" s="148" t="str">
        <x:v>Early amortization</x:v>
      </x:c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</x:row>
    <x:row r="19" ht="25" customHeight="1">
      <x:c r="A19" s="148" t="str">
        <x:v>Overall gate</x:v>
      </x:c>
      <x:c r="B19" s="152" t="str">
        <x:f>'Covenants'!D20</x:f>
        <x:v>NPL threshold action</x:v>
      </x:c>
      <x:c r="C19" s="148" t="str">
        <x:v>status</x:v>
      </x:c>
      <x:c r="D19" s="148" t="str">
        <x:v>Highest-priority failure</x:v>
      </x:c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</x:row>
    <x:row r="20" ht="25" customHeight="1">
      <x:c r="A20" s="148" t="str">
        <x:v>Model status</x:v>
      </x:c>
      <x:c r="B20" s="152" t="str">
        <x:f>'Cover'!B11</x:f>
        <x:v>Illustrative lender case</x:v>
      </x:c>
      <x:c r="C20" s="148" t="str">
        <x:v>status</x:v>
      </x:c>
      <x:c r="D20" s="148" t="str">
        <x:v>Replace provisional inputs in diligence</x:v>
      </x:c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</x:row>
    <x:row r="21" ht="25" customHeight="1">
      <x:c r="A21" s="146"/>
      <x:c r="B21" s="146"/>
      <x:c r="C21" s="146"/>
      <x:c r="D21" s="146"/>
      <x:c r="E21" s="146"/>
      <x:c r="F21" s="146"/>
      <x:c r="G21" s="146"/>
      <x:c r="H21" s="146"/>
      <x:c r="I21" s="146"/>
      <x:c r="J21" s="146"/>
      <x:c r="K21" s="146"/>
      <x:c r="L21" s="146"/>
      <x:c r="M21" s="146"/>
      <x:c r="N21" s="146"/>
      <x:c r="O21" s="146"/>
    </x:row>
    <x:row r="22" ht="25" customHeight="1">
      <x:c r="A22" s="146"/>
      <x:c r="B22" s="146"/>
      <x:c r="C22" s="146"/>
      <x:c r="D22" s="146"/>
      <x:c r="E22" s="146"/>
      <x:c r="F22" s="146"/>
      <x:c r="G22" s="146"/>
      <x:c r="H22" s="146"/>
      <x:c r="I22" s="146"/>
      <x:c r="J22" s="146"/>
      <x:c r="K22" s="146"/>
      <x:c r="L22" s="146"/>
      <x:c r="M22" s="146"/>
      <x:c r="N22" s="146"/>
      <x:c r="O22" s="146"/>
    </x:row>
    <x:row r="23" ht="25" customHeight="1">
      <x:c r="A23" s="146"/>
      <x:c r="B23" s="146"/>
      <x:c r="C23" s="146"/>
      <x:c r="D23" s="146"/>
      <x:c r="E23" s="146"/>
      <x:c r="F23" s="146"/>
      <x:c r="G23" s="146"/>
      <x:c r="H23" s="146"/>
      <x:c r="I23" s="146"/>
      <x:c r="J23" s="146"/>
      <x:c r="K23" s="146"/>
      <x:c r="L23" s="146"/>
      <x:c r="M23" s="146"/>
      <x:c r="N23" s="146"/>
      <x:c r="O23" s="146"/>
    </x:row>
    <x:row r="24" ht="25" customHeight="1">
      <x:c r="A24" s="146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6"/>
      <x:c r="M24" s="146"/>
      <x:c r="N24" s="146"/>
      <x:c r="O24" s="146"/>
    </x:row>
    <x:row r="25" ht="25" customHeight="1">
      <x:c r="A25" s="146"/>
      <x:c r="B25" s="146"/>
      <x:c r="C25" s="146"/>
      <x:c r="D25" s="146"/>
      <x:c r="E25" s="146"/>
      <x:c r="F25" s="146"/>
      <x:c r="G25" s="146"/>
      <x:c r="H25" s="146"/>
      <x:c r="I25" s="146"/>
      <x:c r="J25" s="146"/>
      <x:c r="K25" s="146"/>
      <x:c r="L25" s="146"/>
      <x:c r="M25" s="146"/>
      <x:c r="N25" s="146"/>
      <x:c r="O25" s="146"/>
    </x:row>
    <x:row r="26" ht="13.5" customHeight="1">
      <x:c r="A26" s="146"/>
      <x:c r="B26" s="146"/>
      <x:c r="C26" s="146"/>
      <x:c r="D26" s="146"/>
      <x:c r="E26" s="146"/>
      <x:c r="F26" s="146"/>
      <x:c r="G26" s="146"/>
      <x:c r="H26" s="146"/>
      <x:c r="I26" s="146"/>
      <x:c r="J26" s="146"/>
      <x:c r="K26" s="146"/>
      <x:c r="L26" s="146"/>
      <x:c r="M26" s="146"/>
      <x:c r="N26" s="146"/>
      <x:c r="O26" s="146"/>
    </x:row>
    <x:row r="27" ht="13.5" customHeight="1">
      <x:c r="A27" s="146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6"/>
      <x:c r="M27" s="146"/>
      <x:c r="N27" s="146"/>
      <x:c r="O27" s="146"/>
    </x:row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N8:O9"/>
    <x:mergeCell ref="B11:O11"/>
    <x:mergeCell ref="I5:J5"/>
    <x:mergeCell ref="E7:G7"/>
    <x:mergeCell ref="H7:J7"/>
    <x:mergeCell ref="K7:M7"/>
    <x:mergeCell ref="N7:O7"/>
    <x:mergeCell ref="B7:D7"/>
    <x:mergeCell ref="B8:D9"/>
    <x:mergeCell ref="E8:G9"/>
    <x:mergeCell ref="H8:J9"/>
    <x:mergeCell ref="K8:M9"/>
  </x:mergeCells>
  <x:conditionalFormatting sqref="I5:I5">
    <x:cfRule type="containsText" dxfId="10" priority="1" operator="containsText" text="PASS">
      <x:formula>NOT(ISERROR(SEARCH(("PASS"),(I5))))</x:formula>
    </x:cfRule>
    <x:cfRule type="containsText" dxfId="9" priority="2" operator="containsText" text="FAIL">
      <x:formula>NOT(ISERROR(SEARCH(("FAIL"),(I5))))</x:formula>
    </x:cfRule>
    <x:cfRule type="containsText" dxfId="8" priority="3" operator="containsText" text="WATCH">
      <x:formula>NOT(ISERROR(SEARCH(("WATCH"),(I5))))</x:formula>
    </x:cfRule>
  </x:conditionalFormatting>
  <x:pageMargins left="0.7" right="0.7" top="0.75" bottom="0.75" header="0.3" footer="0.3"/>
  <x:drawing xmlns:r="http://schemas.openxmlformats.org/officeDocument/2006/relationships" r:id="R18bb14af3305441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28" hidden="0" customWidth="1"/>
    <x:col min="2" max="2" width="16" hidden="0" customWidth="1"/>
    <x:col min="3" max="6" width="14" customWidth="1"/>
    <x:col min="7" max="7" width="18" hidden="0" customWidth="1"/>
    <x:col min="8" max="27" width="8.83203125" customWidth="1"/>
    <x:col min="3" max="3" width="12" hidden="0" customWidth="1"/>
    <x:col min="4" max="4" width="12" hidden="0" customWidth="1"/>
    <x:col min="5" max="5" width="16" hidden="0" customWidth="1"/>
    <x:col min="6" max="6" width="32" hidden="0" customWidth="1"/>
    <x:col min="8" max="8" width="34" hidden="0" customWidth="1"/>
  </x:cols>
  <x:sheetData>
    <x:row r="1" ht="28" customHeight="1">
      <x:c r="A1" s="144" t="str">
        <x:v>Assumptions</x:v>
      </x:c>
      <x:c r="B1" s="144"/>
      <x:c r="C1" s="144"/>
      <x:c r="D1" s="144"/>
      <x:c r="E1" s="144"/>
      <x:c r="F1" s="144"/>
      <x:c r="G1" s="144"/>
      <x:c r="H1" s="144"/>
    </x:row>
    <x:row r="2" s="58" customFormat="1" ht="24" customHeight="1">
      <x:c r="A2" s="145" t="str">
        <x:v>Centralized model inputs, source status and diligence ownership</x:v>
      </x:c>
      <x:c r="B2" s="145"/>
      <x:c r="C2" s="145"/>
      <x:c r="D2" s="145"/>
      <x:c r="E2" s="145"/>
      <x:c r="F2" s="145"/>
      <x:c r="G2" s="145"/>
      <x:c r="H2" s="145"/>
    </x:row>
    <x:row r="3" s="58" customFormat="1" ht="24" customHeight="1">
      <x:c r="A3" s="146"/>
      <x:c r="B3" s="146"/>
      <x:c r="C3" s="146"/>
      <x:c r="D3" s="146"/>
      <x:c r="E3" s="146"/>
      <x:c r="F3" s="146"/>
      <x:c r="G3" s="146"/>
      <x:c r="H3" s="146"/>
    </x:row>
    <x:row r="4" ht="13.5" customHeight="1">
      <x:c r="A4" s="154" t="str">
        <x:v>Assumption</x:v>
      </x:c>
      <x:c r="B4" s="154" t="str">
        <x:v>Value</x:v>
      </x:c>
      <x:c r="C4" s="154" t="str">
        <x:v>Units</x:v>
      </x:c>
      <x:c r="D4" s="154" t="str">
        <x:v>Currency</x:v>
      </x:c>
      <x:c r="E4" s="154" t="str">
        <x:v>Status</x:v>
      </x:c>
      <x:c r="F4" s="154" t="str">
        <x:v>Source / reference</x:v>
      </x:c>
      <x:c r="G4" s="154" t="str">
        <x:v>Diligence owner</x:v>
      </x:c>
      <x:c r="H4" s="154" t="str">
        <x:v>Notes</x:v>
      </x:c>
    </x:row>
    <x:row r="5" ht="13.5" customHeight="1">
      <x:c r="A5" s="148" t="str">
        <x:v>Facility size</x:v>
      </x:c>
      <x:c r="B5" s="155" t="n">
        <x:v>9000000</x:v>
      </x:c>
      <x:c r="C5" s="148" t="str">
        <x:v>amount</x:v>
      </x:c>
      <x:c r="D5" s="148" t="str">
        <x:v>USD</x:v>
      </x:c>
      <x:c r="E5" s="148" t="str">
        <x:v>Source-backed</x:v>
      </x:c>
      <x:c r="F5" s="148" t="str">
        <x:v>SPV term sheet</x:v>
      </x:c>
      <x:c r="G5" s="148" t="str">
        <x:v>Structuring</x:v>
      </x:c>
      <x:c r="H5" s="148" t="str">
        <x:v>Primary SPV capitalization</x:v>
      </x:c>
    </x:row>
    <x:row r="6" ht="13.5" customHeight="1">
      <x:c r="A6" s="148" t="str">
        <x:v>Class A %</x:v>
      </x:c>
      <x:c r="B6" s="156" t="n">
        <x:v>0.75</x:v>
      </x:c>
      <x:c r="C6" s="148" t="str">
        <x:v>percent</x:v>
      </x:c>
      <x:c r="D6" s="148" t="str">
        <x:v>-</x:v>
      </x:c>
      <x:c r="E6" s="148" t="str">
        <x:v>Source-backed</x:v>
      </x:c>
      <x:c r="F6" s="148" t="str">
        <x:v>SPV term sheet</x:v>
      </x:c>
      <x:c r="G6" s="148" t="str">
        <x:v>Structuring</x:v>
      </x:c>
      <x:c r="H6" s="148" t="str">
        <x:v>Senior debt</x:v>
      </x:c>
    </x:row>
    <x:row r="7" ht="13.5" customHeight="1">
      <x:c r="A7" s="148" t="str">
        <x:v>Class B %</x:v>
      </x:c>
      <x:c r="B7" s="156" t="n">
        <x:v>0.15</x:v>
      </x:c>
      <x:c r="C7" s="148" t="str">
        <x:v>percent</x:v>
      </x:c>
      <x:c r="D7" s="148" t="str">
        <x:v>-</x:v>
      </x:c>
      <x:c r="E7" s="148" t="str">
        <x:v>Source-backed</x:v>
      </x:c>
      <x:c r="F7" s="148" t="str">
        <x:v>SPV term sheet</x:v>
      </x:c>
      <x:c r="G7" s="148" t="str">
        <x:v>Structuring</x:v>
      </x:c>
      <x:c r="H7" s="148" t="str">
        <x:v>Mezzanine debt</x:v>
      </x:c>
    </x:row>
    <x:row r="8" ht="13.5" customHeight="1">
      <x:c r="A8" s="148" t="str">
        <x:v>Class C %</x:v>
      </x:c>
      <x:c r="B8" s="156" t="n">
        <x:v>0.1</x:v>
      </x:c>
      <x:c r="C8" s="148" t="str">
        <x:v>percent</x:v>
      </x:c>
      <x:c r="D8" s="148" t="str">
        <x:v>-</x:v>
      </x:c>
      <x:c r="E8" s="148" t="str">
        <x:v>Source-backed</x:v>
      </x:c>
      <x:c r="F8" s="148" t="str">
        <x:v>SPV term sheet</x:v>
      </x:c>
      <x:c r="G8" s="148" t="str">
        <x:v>Structuring</x:v>
      </x:c>
      <x:c r="H8" s="148" t="str">
        <x:v>First-loss equity</x:v>
      </x:c>
    </x:row>
    <x:row r="9" ht="13.5" customHeight="1">
      <x:c r="A9" s="148" t="str">
        <x:v>Advance rate</x:v>
      </x:c>
      <x:c r="B9" s="156" t="n">
        <x:v>0.75</x:v>
      </x:c>
      <x:c r="C9" s="148" t="str">
        <x:v>percent</x:v>
      </x:c>
      <x:c r="D9" s="148" t="str">
        <x:v>-</x:v>
      </x:c>
      <x:c r="E9" s="148" t="str">
        <x:v>Source-backed</x:v>
      </x:c>
      <x:c r="F9" s="148" t="str">
        <x:v>SPV term sheet</x:v>
      </x:c>
      <x:c r="G9" s="148" t="str">
        <x:v>Structuring</x:v>
      </x:c>
      <x:c r="H9" s="148" t="str">
        <x:v>Total-capital convention</x:v>
      </x:c>
    </x:row>
    <x:row r="10" ht="13.5" customHeight="1">
      <x:c r="A10" s="148" t="str">
        <x:v>OC target</x:v>
      </x:c>
      <x:c r="B10" s="156" t="n">
        <x:v>1.25</x:v>
      </x:c>
      <x:c r="C10" s="148" t="str">
        <x:v>ratio</x:v>
      </x:c>
      <x:c r="D10" s="148" t="str">
        <x:v>-</x:v>
      </x:c>
      <x:c r="E10" s="148" t="str">
        <x:v>Source-backed</x:v>
      </x:c>
      <x:c r="F10" s="148" t="str">
        <x:v>SPV term sheet</x:v>
      </x:c>
      <x:c r="G10" s="148" t="str">
        <x:v>Trustee</x:v>
      </x:c>
      <x:c r="H10" s="148" t="str">
        <x:v>Eligible receivables / A+B</x:v>
      </x:c>
    </x:row>
    <x:row r="11" ht="13.5" customHeight="1">
      <x:c r="A11" s="148" t="str">
        <x:v>CRA months</x:v>
      </x:c>
      <x:c r="B11" s="157" t="n">
        <x:v>3</x:v>
      </x:c>
      <x:c r="C11" s="148" t="str">
        <x:v>months</x:v>
      </x:c>
      <x:c r="D11" s="148" t="str">
        <x:v>-</x:v>
      </x:c>
      <x:c r="E11" s="148" t="str">
        <x:v>Illustrative</x:v>
      </x:c>
      <x:c r="F11" s="148" t="str">
        <x:v>Implementation plan</x:v>
      </x:c>
      <x:c r="G11" s="148" t="str">
        <x:v>Treasury</x:v>
      </x:c>
      <x:c r="H11" s="148" t="str">
        <x:v>Replace with final reserve policy</x:v>
      </x:c>
    </x:row>
    <x:row r="12" ht="13.5" customHeight="1">
      <x:c r="A12" s="148" t="str">
        <x:v>Base FX</x:v>
      </x:c>
      <x:c r="B12" s="157" t="n">
        <x:v>130</x:v>
      </x:c>
      <x:c r="C12" s="148" t="str">
        <x:v>KES/USD</x:v>
      </x:c>
      <x:c r="D12" s="148" t="str">
        <x:v>KES/USD</x:v>
      </x:c>
      <x:c r="E12" s="148" t="str">
        <x:v>Illustrative</x:v>
      </x:c>
      <x:c r="F12" s="148" t="str">
        <x:v>Strategic memorandum inference</x:v>
      </x:c>
      <x:c r="G12" s="148" t="str">
        <x:v>Treasury</x:v>
      </x:c>
      <x:c r="H12" s="148" t="str">
        <x:v>Illustrative rate, not live quote</x:v>
      </x:c>
    </x:row>
    <x:row r="13" ht="13.5" customHeight="1">
      <x:c r="A13" s="148" t="str">
        <x:v>Class A spread</x:v>
      </x:c>
      <x:c r="B13" s="156" t="n">
        <x:v>0.02</x:v>
      </x:c>
      <x:c r="C13" s="148" t="str">
        <x:v>percent</x:v>
      </x:c>
      <x:c r="D13" s="148" t="str">
        <x:v>-</x:v>
      </x:c>
      <x:c r="E13" s="148" t="str">
        <x:v>Source-backed</x:v>
      </x:c>
      <x:c r="F13" s="148" t="str">
        <x:v>SPV term sheet</x:v>
      </x:c>
      <x:c r="G13" s="148" t="str">
        <x:v>Structuring</x:v>
      </x:c>
      <x:c r="H13" s="148" t="str">
        <x:v>T-Bill + 200 bps</x:v>
      </x:c>
    </x:row>
    <x:row r="14" s="58" customFormat="1" ht="19.5" customHeight="1">
      <x:c r="A14" s="148" t="str">
        <x:v>Class B rate</x:v>
      </x:c>
      <x:c r="B14" s="156" t="n">
        <x:v>0.2</x:v>
      </x:c>
      <x:c r="C14" s="148" t="str">
        <x:v>percent</x:v>
      </x:c>
      <x:c r="D14" s="148" t="str">
        <x:v>-</x:v>
      </x:c>
      <x:c r="E14" s="148" t="str">
        <x:v>USD</x:v>
      </x:c>
      <x:c r="F14" s="148" t="str">
        <x:v>Implementation plan midpoint</x:v>
      </x:c>
      <x:c r="G14" s="148" t="str">
        <x:v>Structuring</x:v>
      </x:c>
      <x:c r="H14" s="148" t="str">
        <x:v>Within 18%–22% range</x:v>
      </x:c>
    </x:row>
    <x:row r="15" s="58" customFormat="1" ht="27.75" customHeight="1">
      <x:c r="A15" s="148" t="str">
        <x:v>Servicing fee</x:v>
      </x:c>
      <x:c r="B15" s="156" t="n">
        <x:v>0.03</x:v>
      </x:c>
      <x:c r="C15" s="148" t="str">
        <x:v>percent</x:v>
      </x:c>
      <x:c r="D15" s="148" t="str">
        <x:v>-</x:v>
      </x:c>
      <x:c r="E15" s="148" t="str">
        <x:v>Illustrative</x:v>
      </x:c>
      <x:c r="F15" s="148" t="str">
        <x:v>Implementation plan</x:v>
      </x:c>
      <x:c r="G15" s="148" t="str">
        <x:v>Servicing</x:v>
      </x:c>
      <x:c r="H15" s="148" t="str">
        <x:v>Replace with executed agreement</x:v>
      </x:c>
    </x:row>
    <x:row r="16" ht="13.5" customHeight="1">
      <x:c r="A16" s="148" t="str">
        <x:v>Trustee fee</x:v>
      </x:c>
      <x:c r="B16" s="156" t="n">
        <x:v>0.005</x:v>
      </x:c>
      <x:c r="C16" s="148" t="str">
        <x:v>percent</x:v>
      </x:c>
      <x:c r="D16" s="148" t="str">
        <x:v>-</x:v>
      </x:c>
      <x:c r="E16" s="148" t="str">
        <x:v>Illustrative</x:v>
      </x:c>
      <x:c r="F16" s="148" t="str">
        <x:f t="shared" ref="F16:F23" si="0">IF($C$4="Growth",$D16,IF($C$4="Downside",$E16,$C16))</x:f>
        <x:v>Implementation plan</x:v>
      </x:c>
      <x:c r="G16" s="148" t="str">
        <x:v>Trustee</x:v>
      </x:c>
      <x:c r="H16" s="148" t="str">
        <x:v>Annualized</x:v>
      </x:c>
    </x:row>
    <x:row r="17" ht="13.5" customHeight="1">
      <x:c r="A17" s="148" t="str">
        <x:v>Recovery rate</x:v>
      </x:c>
      <x:c r="B17" s="156" t="n">
        <x:v>0.4</x:v>
      </x:c>
      <x:c r="C17" s="148" t="str">
        <x:v>percent</x:v>
      </x:c>
      <x:c r="D17" s="148" t="str">
        <x:v>-</x:v>
      </x:c>
      <x:c r="E17" s="148" t="str">
        <x:v>Illustrative</x:v>
      </x:c>
      <x:c r="F17" s="148" t="str">
        <x:f t="shared" si="0"/>
        <x:v>Implementation plan</x:v>
      </x:c>
      <x:c r="G17" s="148" t="str">
        <x:v>Collections</x:v>
      </x:c>
      <x:c r="H17" s="148" t="str">
        <x:v>Net recovery assumption</x:v>
      </x:c>
    </x:row>
    <x:row r="18" ht="13.5" customHeight="1">
      <x:c r="A18" s="148" t="str">
        <x:v>Provisioning</x:v>
      </x:c>
      <x:c r="B18" s="156" t="n">
        <x:v>0.015</x:v>
      </x:c>
      <x:c r="C18" s="148" t="str">
        <x:v>percent</x:v>
      </x:c>
      <x:c r="D18" s="148" t="str">
        <x:v>-</x:v>
      </x:c>
      <x:c r="E18" s="148" t="str">
        <x:v>Illustrative</x:v>
      </x:c>
      <x:c r="F18" s="148" t="str">
        <x:f t="shared" si="0"/>
        <x:v>Implementation plan</x:v>
      </x:c>
      <x:c r="G18" s="148" t="str">
        <x:v>Finance</x:v>
      </x:c>
      <x:c r="H18" s="148" t="str">
        <x:v>Base case</x:v>
      </x:c>
    </x:row>
    <x:row r="19" ht="13.5" customHeight="1">
      <x:c r="A19" s="148" t="str">
        <x:v>IPF default</x:v>
      </x:c>
      <x:c r="B19" s="156" t="n">
        <x:v>0.032</x:v>
      </x:c>
      <x:c r="C19" s="148" t="str">
        <x:v>percent</x:v>
      </x:c>
      <x:c r="D19" s="148" t="str">
        <x:v>-</x:v>
      </x:c>
      <x:c r="E19" s="148" t="str">
        <x:v>Source-backed</x:v>
      </x:c>
      <x:c r="F19" s="148" t="str">
        <x:f t="shared" si="0"/>
        <x:v>Strategic memorandum</x:v>
      </x:c>
      <x:c r="G19" s="148" t="str">
        <x:v>Risk</x:v>
      </x:c>
      <x:c r="H19" s="148" t="str">
        <x:v>Base case</x:v>
      </x:c>
    </x:row>
    <x:row r="20" ht="13.5" customHeight="1">
      <x:c r="A20" s="148" t="str">
        <x:v>Microloan default</x:v>
      </x:c>
      <x:c r="B20" s="156" t="n">
        <x:v>0.045</x:v>
      </x:c>
      <x:c r="C20" s="148" t="str">
        <x:v>percent</x:v>
      </x:c>
      <x:c r="D20" s="148" t="str">
        <x:v>-</x:v>
      </x:c>
      <x:c r="E20" s="148" t="str">
        <x:v>Source-backed</x:v>
      </x:c>
      <x:c r="F20" s="148" t="str">
        <x:f t="shared" si="0"/>
        <x:v>Strategic memorandum</x:v>
      </x:c>
      <x:c r="G20" s="148" t="str">
        <x:v>Risk</x:v>
      </x:c>
      <x:c r="H20" s="148" t="str">
        <x:v>Base case</x:v>
      </x:c>
    </x:row>
    <x:row r="21" ht="13.5" customHeight="1">
      <x:c r="A21" s="148" t="str">
        <x:v>Revolver default</x:v>
      </x:c>
      <x:c r="B21" s="157" t="n">
        <x:v>0.055</x:v>
      </x:c>
      <x:c r="C21" s="148" t="str">
        <x:v>percent</x:v>
      </x:c>
      <x:c r="D21" s="148" t="str">
        <x:v>-</x:v>
      </x:c>
      <x:c r="E21" s="148" t="str">
        <x:v>Illustrative</x:v>
      </x:c>
      <x:c r="F21" s="148" t="str">
        <x:f t="shared" si="0"/>
        <x:v>Implementation plan</x:v>
      </x:c>
      <x:c r="G21" s="148" t="str">
        <x:v>Risk</x:v>
      </x:c>
      <x:c r="H21" s="148" t="str">
        <x:v>Provisional base case</x:v>
      </x:c>
    </x:row>
    <x:row r="22" ht="13.5" customHeight="1">
      <x:c r="A22" s="148" t="str">
        <x:v>PSI threshold</x:v>
      </x:c>
      <x:c r="B22" s="156" t="n">
        <x:v>0.25</x:v>
      </x:c>
      <x:c r="C22" s="148" t="str">
        <x:v>score</x:v>
      </x:c>
      <x:c r="D22" s="148" t="str">
        <x:v>-</x:v>
      </x:c>
      <x:c r="E22" s="148" t="str">
        <x:v>Source-backed</x:v>
      </x:c>
      <x:c r="F22" s="148" t="str">
        <x:f t="shared" si="0"/>
        <x:v>Regulatory orchestration</x:v>
      </x:c>
      <x:c r="G22" s="148" t="str">
        <x:v>Model risk</x:v>
      </x:c>
      <x:c r="H22" s="148" t="str">
        <x:v>Trigger at or above</x:v>
      </x:c>
    </x:row>
    <x:row r="23" ht="13.5" customHeight="1">
      <x:c r="A23" s="148" t="str">
        <x:v>NPL threshold</x:v>
      </x:c>
      <x:c r="B23" s="156" t="n">
        <x:v>0.065</x:v>
      </x:c>
      <x:c r="C23" s="148" t="str">
        <x:v>percent</x:v>
      </x:c>
      <x:c r="D23" s="148" t="str">
        <x:v>-</x:v>
      </x:c>
      <x:c r="E23" s="148" t="str">
        <x:v>Source-backed</x:v>
      </x:c>
      <x:c r="F23" s="148" t="str">
        <x:f t="shared" si="0"/>
        <x:v>SPV term sheet</x:v>
      </x:c>
      <x:c r="G23" s="148" t="str">
        <x:v>Trustee</x:v>
      </x:c>
      <x:c r="H23" s="148" t="str">
        <x:v>Early amortization</x:v>
      </x:c>
    </x:row>
    <x:row r="24" ht="13.5" customHeight="1">
      <x:c r="A24" s="148" t="str">
        <x:v>Platform concentration limit</x:v>
      </x:c>
      <x:c r="B24" s="156" t="n">
        <x:v>0.25</x:v>
      </x:c>
      <x:c r="C24" s="148" t="str">
        <x:v>percent</x:v>
      </x:c>
      <x:c r="D24" s="148" t="str">
        <x:v>-</x:v>
      </x:c>
      <x:c r="E24" s="148" t="str">
        <x:v>Source-backed</x:v>
      </x:c>
      <x:c r="F24" s="148" t="str">
        <x:v>SPV term sheet</x:v>
      </x:c>
      <x:c r="G24" s="148" t="str">
        <x:v>Portfolio</x:v>
      </x:c>
      <x:c r="H24" s="148" t="str">
        <x:v>Maximum platform</x:v>
      </x:c>
    </x:row>
    <x:row r="25" ht="33.75" customHeight="1">
      <x:c r="A25" s="148" t="str">
        <x:v>Geographic concentration limit</x:v>
      </x:c>
      <x:c r="B25" s="156" t="n">
        <x:v>0.15</x:v>
      </x:c>
      <x:c r="C25" s="148" t="str">
        <x:v>percent</x:v>
      </x:c>
      <x:c r="D25" s="148" t="str">
        <x:v>-</x:v>
      </x:c>
      <x:c r="E25" s="148" t="str">
        <x:v>Source-backed</x:v>
      </x:c>
      <x:c r="F25" s="148" t="str">
        <x:v>SPV term sheet</x:v>
      </x:c>
      <x:c r="G25" s="148" t="str">
        <x:v>Portfolio</x:v>
      </x:c>
      <x:c r="H25" s="148" t="str">
        <x:v>Maximum urban-geographic</x:v>
      </x:c>
    </x:row>
    <x:row r="26" ht="13.5" customHeight="1">
      <x:c r="A26" s="148" t="str">
        <x:v>HoldCo overlay</x:v>
      </x:c>
      <x:c r="B26" s="155" t="n">
        <x:v>1000000</x:v>
      </x:c>
      <x:c r="C26" s="148" t="str">
        <x:v>amount</x:v>
      </x:c>
      <x:c r="D26" s="148" t="str">
        <x:v>USD</x:v>
      </x:c>
      <x:c r="E26" s="148" t="str">
        <x:v>Source-backed</x:v>
      </x:c>
      <x:c r="F26" s="148" t="str">
        <x:v>Strategic memorandum</x:v>
      </x:c>
      <x:c r="G26" s="148" t="str">
        <x:v>Sponsor</x:v>
      </x:c>
      <x:c r="H26" s="148" t="str">
        <x:v>Separate from SPV waterfall</x:v>
      </x:c>
    </x:row>
    <x:row r="27" ht="13.5" customHeight="1">
      <x:c r="A27" s="148" t="str">
        <x:v>Forecast months</x:v>
      </x:c>
      <x:c r="B27" s="157" t="n">
        <x:v>36</x:v>
      </x:c>
      <x:c r="C27" s="148" t="str">
        <x:v>months</x:v>
      </x:c>
      <x:c r="D27" s="148" t="str">
        <x:v>-</x:v>
      </x:c>
      <x:c r="E27" s="148" t="str">
        <x:v>Locked decision</x:v>
      </x:c>
      <x:c r="F27" s="148" t="str">
        <x:v>Implementation plan</x:v>
      </x:c>
      <x:c r="G27" s="148" t="str">
        <x:v>Finance</x:v>
      </x:c>
      <x:c r="H27" s="148" t="str">
        <x:v>Monthly</x:v>
      </x:c>
    </x:row>
    <x:row r="28" ht="13.5" customHeight="1">
      <x:c r="A28" s="148" t="str">
        <x:v>KESONIA base rate</x:v>
      </x:c>
      <x:c r="B28" s="156" t="n">
        <x:v>0.105</x:v>
      </x:c>
      <x:c r="C28" s="148" t="str">
        <x:v>percent</x:v>
      </x:c>
      <x:c r="D28" s="148" t="str">
        <x:v>-</x:v>
      </x:c>
      <x:c r="E28" s="148" t="str">
        <x:v>Source-backed</x:v>
      </x:c>
      <x:c r="F28" s="148" t="str">
        <x:v>Market Benchmark</x:v>
      </x:c>
      <x:c r="G28" s="148" t="str">
        <x:v>Treasury</x:v>
      </x:c>
      <x:c r="H28" s="148" t="str">
        <x:v>Kenya Shilling Overnight Interbank Average</x:v>
      </x:c>
    </x:row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C25:G25"/>
  </x:mergeCells>
  <x:dataValidations count="1">
    <x:dataValidation type="list" allowBlank="1" sqref="C4">
      <x:formula1>"Base,Growth,Downside"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customWidth="1"/>
    <x:col min="2" max="2" width="34" customWidth="1"/>
    <x:col min="3" max="14" width="13" customWidth="1"/>
    <x:col min="15" max="15" width="15" customWidth="1"/>
    <x:col min="16" max="27" width="8.83203125" customWidth="1"/>
  </x:cols>
  <x:sheetData>
    <x:row r="1">
      <x:c r="A1" s="101" t="str">
        <x:v>Retained template reference cleared for SPV schedules</x:v>
      </x:c>
      <x:c r="B1" s="101"/>
      <x:c r="C1" s="101"/>
      <x:c r="D1" s="101"/>
      <x:c r="E1" s="101"/>
      <x:c r="F1" s="101"/>
      <x:c r="G1" s="101"/>
      <x:c r="H1" s="101"/>
    </x:row>
    <x:row r="2" ht="24" customHeight="1"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 ht="24" customHeight="1"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 ht="13.5" customHeight="1"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 ht="24" customHeight="1"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</x:row>
    <x:row r="6" ht="21.75" customHeight="1"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</x:row>
    <x:row r="7" ht="13.5" customHeight="1"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</x:row>
    <x:row r="8" ht="13.5" customHeight="1"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 ht="13.5" customHeight="1"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 ht="13.5" customHeight="1">
      <x:c r="B10"/>
      <x:c r="C10">
        <x:f t="shared" ref="C10:C11" si="0">C47</x:f>
      </x:c>
      <x:c r="D10"/>
      <x:c r="E10"/>
      <x:c r="F10"/>
      <x:c r="G10"/>
      <x:c r="H10"/>
      <x:c r="I10"/>
      <x:c r="J10"/>
      <x:c r="K10"/>
      <x:c r="L10"/>
      <x:c r="M10"/>
      <x:c r="N10"/>
      <x:c r="O10"/>
    </x:row>
    <x:row r="11" ht="13.5" customHeight="1">
      <x:c r="B11"/>
      <x:c r="C11">
        <x:f t="shared" si="0"/>
      </x:c>
      <x:c r="D11">
        <x:f t="shared" ref="D11:N11" si="1">D48</x:f>
      </x:c>
      <x:c r="E11">
        <x:f t="shared" si="1"/>
      </x:c>
      <x:c r="F11">
        <x:f t="shared" si="1"/>
      </x:c>
      <x:c r="G11">
        <x:f t="shared" si="1"/>
      </x:c>
      <x:c r="H11">
        <x:f t="shared" si="1"/>
      </x:c>
      <x:c r="I11">
        <x:f t="shared" si="1"/>
      </x:c>
      <x:c r="J11">
        <x:f t="shared" si="1"/>
      </x:c>
      <x:c r="K11">
        <x:f t="shared" si="1"/>
      </x:c>
      <x:c r="L11">
        <x:f t="shared" si="1"/>
      </x:c>
      <x:c r="M11">
        <x:f t="shared" si="1"/>
      </x:c>
      <x:c r="N11">
        <x:f t="shared" si="1"/>
      </x:c>
      <x:c r="O11">
        <x:f t="shared" ref="O11:O12" si="2">AVERAGE(C11:N11)</x:f>
      </x:c>
    </x:row>
    <x:row r="12" ht="13.5" customHeight="1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>
        <x:f t="shared" si="2"/>
      </x:c>
    </x:row>
    <x:row r="13" ht="13.5" customHeight="1">
      <x:c r="B13"/>
      <x:c r="C13">
        <x:f t="shared" ref="C13:N13" si="3">C10*C11</x:f>
      </x:c>
      <x:c r="D13">
        <x:f t="shared" si="3"/>
      </x:c>
      <x:c r="E13">
        <x:f t="shared" si="3"/>
      </x:c>
      <x:c r="F13">
        <x:f t="shared" si="3"/>
      </x:c>
      <x:c r="G13">
        <x:f t="shared" si="3"/>
      </x:c>
      <x:c r="H13">
        <x:f t="shared" si="3"/>
      </x:c>
      <x:c r="I13">
        <x:f t="shared" si="3"/>
      </x:c>
      <x:c r="J13">
        <x:f t="shared" si="3"/>
      </x:c>
      <x:c r="K13">
        <x:f t="shared" si="3"/>
      </x:c>
      <x:c r="L13">
        <x:f t="shared" si="3"/>
      </x:c>
      <x:c r="M13">
        <x:f t="shared" si="3"/>
      </x:c>
      <x:c r="N13">
        <x:f t="shared" si="3"/>
      </x:c>
      <x:c r="O13">
        <x:f t="shared" ref="O13:O15" si="4">SUM(C13:N13)</x:f>
      </x:c>
    </x:row>
    <x:row r="14" ht="13.5" customHeight="1">
      <x:c r="B14"/>
      <x:c r="C14">
        <x:f t="shared" ref="C14:N14" si="5">IF(C$6="Actual",C50,C13*C12)</x:f>
      </x:c>
      <x:c r="D14">
        <x:f t="shared" si="5"/>
      </x:c>
      <x:c r="E14">
        <x:f t="shared" si="5"/>
      </x:c>
      <x:c r="F14">
        <x:f t="shared" si="5"/>
      </x:c>
      <x:c r="G14">
        <x:f t="shared" si="5"/>
      </x:c>
      <x:c r="H14">
        <x:f t="shared" si="5"/>
      </x:c>
      <x:c r="I14">
        <x:f t="shared" si="5"/>
      </x:c>
      <x:c r="J14">
        <x:f t="shared" si="5"/>
      </x:c>
      <x:c r="K14">
        <x:f t="shared" si="5"/>
      </x:c>
      <x:c r="L14">
        <x:f t="shared" si="5"/>
      </x:c>
      <x:c r="M14">
        <x:f t="shared" si="5"/>
      </x:c>
      <x:c r="N14">
        <x:f t="shared" si="5"/>
      </x:c>
      <x:c r="O14">
        <x:f t="shared" si="4"/>
      </x:c>
    </x:row>
    <x:row r="15" ht="13.5" customHeight="1"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>
        <x:f t="shared" si="4"/>
      </x:c>
    </x:row>
    <x:row r="16" ht="13.5" customHeight="1"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</x:row>
    <x:row r="17" ht="13.5" customHeight="1"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3.5" customHeight="1"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</x:row>
    <x:row r="19" ht="13.5" customHeight="1">
      <x:c r="B19"/>
      <x:c r="C19"/>
      <x:c r="D19">
        <x:f t="shared" ref="D19:N19" si="6">C23</x:f>
      </x:c>
      <x:c r="E19">
        <x:f t="shared" si="6"/>
      </x:c>
      <x:c r="F19">
        <x:f t="shared" si="6"/>
      </x:c>
      <x:c r="G19">
        <x:f t="shared" si="6"/>
      </x:c>
      <x:c r="H19">
        <x:f t="shared" si="6"/>
      </x:c>
      <x:c r="I19">
        <x:f t="shared" si="6"/>
      </x:c>
      <x:c r="J19">
        <x:f t="shared" si="6"/>
      </x:c>
      <x:c r="K19">
        <x:f t="shared" si="6"/>
      </x:c>
      <x:c r="L19">
        <x:f t="shared" si="6"/>
      </x:c>
      <x:c r="M19">
        <x:f t="shared" si="6"/>
      </x:c>
      <x:c r="N19">
        <x:f t="shared" si="6"/>
      </x:c>
      <x:c r="O19"/>
    </x:row>
    <x:row r="20" ht="13.5" customHeight="1"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</x:row>
    <x:row r="21" ht="13.5" customHeight="1"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</x:row>
    <x:row r="22" ht="13.5" customHeight="1">
      <x:c r="B22"/>
      <x:c r="C22">
        <x:f t="shared" ref="C22:N22" si="7">C19*C21</x:f>
      </x:c>
      <x:c r="D22">
        <x:f t="shared" si="7"/>
      </x:c>
      <x:c r="E22">
        <x:f t="shared" si="7"/>
      </x:c>
      <x:c r="F22">
        <x:f t="shared" si="7"/>
      </x:c>
      <x:c r="G22">
        <x:f t="shared" si="7"/>
      </x:c>
      <x:c r="H22">
        <x:f t="shared" si="7"/>
      </x:c>
      <x:c r="I22">
        <x:f t="shared" si="7"/>
      </x:c>
      <x:c r="J22">
        <x:f t="shared" si="7"/>
      </x:c>
      <x:c r="K22">
        <x:f t="shared" si="7"/>
      </x:c>
      <x:c r="L22">
        <x:f t="shared" si="7"/>
      </x:c>
      <x:c r="M22">
        <x:f t="shared" si="7"/>
      </x:c>
      <x:c r="N22">
        <x:f t="shared" si="7"/>
      </x:c>
      <x:c r="O22"/>
    </x:row>
    <x:row r="23" s="58" customFormat="1" ht="13.5" customHeight="1">
      <x:c r="B23"/>
      <x:c r="C23">
        <x:f t="shared" ref="C23:N23" si="8">C19+C20-C22</x:f>
      </x:c>
      <x:c r="D23">
        <x:f t="shared" si="8"/>
      </x:c>
      <x:c r="E23">
        <x:f t="shared" si="8"/>
      </x:c>
      <x:c r="F23">
        <x:f t="shared" si="8"/>
      </x:c>
      <x:c r="G23">
        <x:f t="shared" si="8"/>
      </x:c>
      <x:c r="H23">
        <x:f t="shared" si="8"/>
      </x:c>
      <x:c r="I23">
        <x:f t="shared" si="8"/>
      </x:c>
      <x:c r="J23">
        <x:f t="shared" si="8"/>
      </x:c>
      <x:c r="K23">
        <x:f t="shared" si="8"/>
      </x:c>
      <x:c r="L23">
        <x:f t="shared" si="8"/>
      </x:c>
      <x:c r="M23">
        <x:f t="shared" si="8"/>
      </x:c>
      <x:c r="N23">
        <x:f t="shared" si="8"/>
      </x:c>
      <x:c r="O23"/>
    </x:row>
    <x:row r="24" ht="13.5" customHeight="1">
      <x:c r="B24"/>
      <x:c r="C24">
        <x:f t="shared" ref="C24:N24" si="9">ABS(C23-(C19+C20-C22))</x:f>
      </x:c>
      <x:c r="D24"/>
      <x:c r="E24">
        <x:f t="shared" si="9"/>
      </x:c>
      <x:c r="F24">
        <x:f t="shared" si="9"/>
      </x:c>
      <x:c r="G24">
        <x:f t="shared" si="9"/>
      </x:c>
      <x:c r="H24">
        <x:f t="shared" si="9"/>
      </x:c>
      <x:c r="I24">
        <x:f t="shared" si="9"/>
      </x:c>
      <x:c r="J24">
        <x:f t="shared" si="9"/>
      </x:c>
      <x:c r="K24">
        <x:f t="shared" si="9"/>
      </x:c>
      <x:c r="L24">
        <x:f t="shared" si="9"/>
      </x:c>
      <x:c r="M24">
        <x:f t="shared" si="9"/>
      </x:c>
      <x:c r="N24">
        <x:f t="shared" si="9"/>
      </x:c>
      <x:c r="O24"/>
    </x:row>
    <x:row r="25" s="58" customFormat="1" ht="13.5" customHeight="1"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</x:row>
    <x:row r="26" ht="13.5" customHeight="1"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</x:row>
    <x:row r="27" ht="13.5" customHeight="1"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</x:row>
    <x:row r="28" ht="13.5" customHeight="1">
      <x:c r="B28"/>
      <x:c r="C28">
        <x:f t="shared" ref="C28:N28" si="10">C54</x:f>
      </x:c>
      <x:c r="D28">
        <x:f t="shared" si="10"/>
      </x:c>
      <x:c r="E28">
        <x:f t="shared" si="10"/>
      </x:c>
      <x:c r="F28">
        <x:f t="shared" si="10"/>
      </x:c>
      <x:c r="G28">
        <x:f t="shared" si="10"/>
      </x:c>
      <x:c r="H28">
        <x:f t="shared" si="10"/>
      </x:c>
      <x:c r="I28">
        <x:f t="shared" si="10"/>
      </x:c>
      <x:c r="J28">
        <x:f t="shared" si="10"/>
      </x:c>
      <x:c r="K28">
        <x:f t="shared" si="10"/>
      </x:c>
      <x:c r="L28">
        <x:f t="shared" si="10"/>
      </x:c>
      <x:c r="M28">
        <x:f t="shared" si="10"/>
      </x:c>
      <x:c r="N28">
        <x:f t="shared" si="10"/>
      </x:c>
      <x:c r="O28"/>
    </x:row>
    <x:row r="29" ht="13.5" customHeight="1">
      <x:c r="B29"/>
      <x:c r="C29">
        <x:f t="shared" ref="C29:N29" si="11">C55</x:f>
      </x:c>
      <x:c r="D29">
        <x:f t="shared" si="11"/>
      </x:c>
      <x:c r="E29">
        <x:f t="shared" si="11"/>
      </x:c>
      <x:c r="F29">
        <x:f t="shared" si="11"/>
      </x:c>
      <x:c r="G29">
        <x:f t="shared" si="11"/>
      </x:c>
      <x:c r="H29">
        <x:f t="shared" si="11"/>
      </x:c>
      <x:c r="I29">
        <x:f t="shared" si="11"/>
      </x:c>
      <x:c r="J29">
        <x:f t="shared" si="11"/>
      </x:c>
      <x:c r="K29">
        <x:f t="shared" si="11"/>
      </x:c>
      <x:c r="L29">
        <x:f t="shared" si="11"/>
      </x:c>
      <x:c r="M29">
        <x:f t="shared" si="11"/>
      </x:c>
      <x:c r="N29">
        <x:f t="shared" si="11"/>
      </x:c>
      <x:c r="O29"/>
    </x:row>
    <x:row r="30" ht="13.5" customHeight="1"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>
        <x:f t="shared" ref="O30:O33" si="12">SUM(C30:N30)</x:f>
      </x:c>
    </x:row>
    <x:row r="31" ht="13.5" customHeight="1"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>
        <x:f t="shared" si="12"/>
      </x:c>
    </x:row>
    <x:row r="32" ht="13.5" customHeight="1">
      <x:c r="B32"/>
      <x:c r="C32">
        <x:f t="shared" ref="C32:N32" si="13">SUM(C30:C31)</x:f>
      </x:c>
      <x:c r="D32">
        <x:f t="shared" si="13"/>
      </x:c>
      <x:c r="E32">
        <x:f t="shared" si="13"/>
      </x:c>
      <x:c r="F32">
        <x:f t="shared" si="13"/>
      </x:c>
      <x:c r="G32">
        <x:f t="shared" si="13"/>
      </x:c>
      <x:c r="H32">
        <x:f t="shared" si="13"/>
      </x:c>
      <x:c r="I32">
        <x:f t="shared" si="13"/>
      </x:c>
      <x:c r="J32">
        <x:f t="shared" si="13"/>
      </x:c>
      <x:c r="K32">
        <x:f t="shared" si="13"/>
      </x:c>
      <x:c r="L32">
        <x:f t="shared" si="13"/>
      </x:c>
      <x:c r="M32">
        <x:f t="shared" si="13"/>
      </x:c>
      <x:c r="N32">
        <x:f t="shared" si="13"/>
      </x:c>
      <x:c r="O32">
        <x:f t="shared" si="12"/>
      </x:c>
    </x:row>
    <x:row r="33" ht="13.5" customHeight="1">
      <x:c r="B33"/>
      <x:c r="C33">
        <x:f t="shared" ref="C33:N33" si="14">ABS(C32-SUM(C30:C31))</x:f>
      </x:c>
      <x:c r="D33">
        <x:f t="shared" si="14"/>
      </x:c>
      <x:c r="E33">
        <x:f t="shared" si="14"/>
      </x:c>
      <x:c r="F33">
        <x:f t="shared" si="14"/>
      </x:c>
      <x:c r="G33">
        <x:f t="shared" si="14"/>
      </x:c>
      <x:c r="H33">
        <x:f t="shared" si="14"/>
      </x:c>
      <x:c r="I33">
        <x:f t="shared" si="14"/>
      </x:c>
      <x:c r="J33">
        <x:f t="shared" si="14"/>
      </x:c>
      <x:c r="K33">
        <x:f t="shared" si="14"/>
      </x:c>
      <x:c r="L33">
        <x:f t="shared" si="14"/>
      </x:c>
      <x:c r="M33">
        <x:f t="shared" si="14"/>
      </x:c>
      <x:c r="N33">
        <x:f t="shared" si="14"/>
      </x:c>
      <x:c r="O33">
        <x:f t="shared" si="12"/>
      </x:c>
    </x:row>
    <x:row r="34" ht="13.5" customHeight="1"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</x:row>
    <x:row r="35" ht="13.5" customHeight="1"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13.5" customHeight="1"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13.5" customHeight="1">
      <x:c r="B37"/>
      <x:c r="C37">
        <x:f t="shared" ref="C37:N37" si="15">C15*C36</x:f>
      </x:c>
      <x:c r="D37">
        <x:f t="shared" si="15"/>
      </x:c>
      <x:c r="E37">
        <x:f t="shared" si="15"/>
      </x:c>
      <x:c r="F37">
        <x:f t="shared" si="15"/>
      </x:c>
      <x:c r="G37">
        <x:f t="shared" si="15"/>
      </x:c>
      <x:c r="H37">
        <x:f t="shared" si="15"/>
      </x:c>
      <x:c r="I37">
        <x:f t="shared" si="15"/>
      </x:c>
      <x:c r="J37">
        <x:f t="shared" si="15"/>
      </x:c>
      <x:c r="K37">
        <x:f t="shared" si="15"/>
      </x:c>
      <x:c r="L37">
        <x:f t="shared" si="15"/>
      </x:c>
      <x:c r="M37">
        <x:f t="shared" si="15"/>
      </x:c>
      <x:c r="N37">
        <x:f t="shared" si="15"/>
      </x:c>
      <x:c r="O37">
        <x:f t="shared" ref="O37:O40" si="16">SUM(C37:N37)</x:f>
      </x:c>
    </x:row>
    <x:row r="38" ht="13.5" customHeight="1">
      <x:c r="B38"/>
      <x:c r="C38">
        <x:f t="shared" ref="C38:N38" si="17">C37-C32</x:f>
      </x:c>
      <x:c r="D38">
        <x:f t="shared" si="17"/>
      </x:c>
      <x:c r="E38">
        <x:f t="shared" si="17"/>
      </x:c>
      <x:c r="F38">
        <x:f t="shared" si="17"/>
      </x:c>
      <x:c r="G38">
        <x:f t="shared" si="17"/>
      </x:c>
      <x:c r="H38">
        <x:f t="shared" si="17"/>
      </x:c>
      <x:c r="I38">
        <x:f t="shared" si="17"/>
      </x:c>
      <x:c r="J38">
        <x:f t="shared" si="17"/>
      </x:c>
      <x:c r="K38">
        <x:f t="shared" si="17"/>
      </x:c>
      <x:c r="L38">
        <x:f t="shared" si="17"/>
      </x:c>
      <x:c r="M38">
        <x:f t="shared" si="17"/>
      </x:c>
      <x:c r="N38">
        <x:f t="shared" si="17"/>
      </x:c>
      <x:c r="O38">
        <x:f t="shared" si="16"/>
      </x:c>
    </x:row>
    <x:row r="39" ht="13.5" customHeight="1"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>
        <x:f t="shared" si="16"/>
      </x:c>
    </x:row>
    <x:row r="40" ht="13.5" customHeight="1">
      <x:c r="B40"/>
      <x:c r="C40">
        <x:f t="shared" ref="C40:N40" si="18">C38-C39</x:f>
      </x:c>
      <x:c r="D40">
        <x:f t="shared" si="18"/>
      </x:c>
      <x:c r="E40">
        <x:f t="shared" si="18"/>
      </x:c>
      <x:c r="F40">
        <x:f t="shared" si="18"/>
      </x:c>
      <x:c r="G40">
        <x:f t="shared" si="18"/>
      </x:c>
      <x:c r="H40">
        <x:f t="shared" si="18"/>
      </x:c>
      <x:c r="I40">
        <x:f t="shared" si="18"/>
      </x:c>
      <x:c r="J40">
        <x:f t="shared" si="18"/>
      </x:c>
      <x:c r="K40">
        <x:f t="shared" si="18"/>
      </x:c>
      <x:c r="L40">
        <x:f t="shared" si="18"/>
      </x:c>
      <x:c r="M40">
        <x:f t="shared" si="18"/>
      </x:c>
      <x:c r="N40">
        <x:f t="shared" si="18"/>
      </x:c>
      <x:c r="O40">
        <x:f t="shared" si="16"/>
      </x:c>
    </x:row>
    <x:row r="41" ht="13.5" customHeight="1">
      <x:c r="B41"/>
      <x:c r="C41"/>
      <x:c r="D41">
        <x:f t="shared" ref="D41:N41" si="19">C42</x:f>
      </x:c>
      <x:c r="E41">
        <x:f t="shared" si="19"/>
      </x:c>
      <x:c r="F41">
        <x:f t="shared" si="19"/>
      </x:c>
      <x:c r="G41">
        <x:f t="shared" si="19"/>
      </x:c>
      <x:c r="H41">
        <x:f t="shared" si="19"/>
      </x:c>
      <x:c r="I41">
        <x:f t="shared" si="19"/>
      </x:c>
      <x:c r="J41">
        <x:f t="shared" si="19"/>
      </x:c>
      <x:c r="K41">
        <x:f t="shared" si="19"/>
      </x:c>
      <x:c r="L41">
        <x:f t="shared" si="19"/>
      </x:c>
      <x:c r="M41">
        <x:f t="shared" si="19"/>
      </x:c>
      <x:c r="N41">
        <x:f t="shared" si="19"/>
      </x:c>
      <x:c r="O41"/>
    </x:row>
    <x:row r="42" ht="13.5" customHeight="1">
      <x:c r="B42"/>
      <x:c r="C42">
        <x:f t="shared" ref="C42:N42" si="20">C41+C40</x:f>
      </x:c>
      <x:c r="D42">
        <x:f t="shared" si="20"/>
      </x:c>
      <x:c r="E42">
        <x:f t="shared" si="20"/>
      </x:c>
      <x:c r="F42">
        <x:f t="shared" si="20"/>
      </x:c>
      <x:c r="G42">
        <x:f t="shared" si="20"/>
      </x:c>
      <x:c r="H42">
        <x:f t="shared" si="20"/>
      </x:c>
      <x:c r="I42">
        <x:f t="shared" si="20"/>
      </x:c>
      <x:c r="J42">
        <x:f t="shared" si="20"/>
      </x:c>
      <x:c r="K42">
        <x:f t="shared" si="20"/>
      </x:c>
      <x:c r="L42">
        <x:f t="shared" si="20"/>
      </x:c>
      <x:c r="M42">
        <x:f t="shared" si="20"/>
      </x:c>
      <x:c r="N42">
        <x:f t="shared" si="20"/>
      </x:c>
      <x:c r="O42">
        <x:f t="shared" ref="O42:O43" si="21">N42</x:f>
      </x:c>
    </x:row>
    <x:row r="43" ht="13.5" customHeight="1">
      <x:c r="B43"/>
      <x:c r="C43">
        <x:f t="shared" ref="C43:N43" si="22">IF(AVERAGE($I$40:$N$40)&gt;=0,36,MIN(36,C42/ABS(AVERAGE($I$40:$N$40))))</x:f>
      </x:c>
      <x:c r="D43">
        <x:f t="shared" si="22"/>
      </x:c>
      <x:c r="E43">
        <x:f t="shared" si="22"/>
      </x:c>
      <x:c r="F43">
        <x:f t="shared" si="22"/>
      </x:c>
      <x:c r="G43">
        <x:f t="shared" si="22"/>
      </x:c>
      <x:c r="H43">
        <x:f t="shared" si="22"/>
      </x:c>
      <x:c r="I43">
        <x:f t="shared" si="22"/>
      </x:c>
      <x:c r="J43">
        <x:f t="shared" si="22"/>
      </x:c>
      <x:c r="K43">
        <x:f t="shared" si="22"/>
      </x:c>
      <x:c r="L43">
        <x:f t="shared" si="22"/>
      </x:c>
      <x:c r="M43">
        <x:f t="shared" si="22"/>
      </x:c>
      <x:c r="N43">
        <x:f t="shared" si="22"/>
      </x:c>
      <x:c r="O43">
        <x:f t="shared" si="21"/>
      </x:c>
    </x:row>
    <x:row r="44" ht="13.5" customHeight="1">
      <x:c r="B44"/>
      <x:c r="C44">
        <x:f t="shared" ref="C44:N44" si="23">ABS(C42-(C41+C40))</x:f>
      </x:c>
      <x:c r="D44">
        <x:f t="shared" si="23"/>
      </x:c>
      <x:c r="E44">
        <x:f t="shared" si="23"/>
      </x:c>
      <x:c r="F44">
        <x:f t="shared" si="23"/>
      </x:c>
      <x:c r="G44">
        <x:f t="shared" si="23"/>
      </x:c>
      <x:c r="H44">
        <x:f t="shared" si="23"/>
      </x:c>
      <x:c r="I44">
        <x:f t="shared" si="23"/>
      </x:c>
      <x:c r="J44">
        <x:f t="shared" si="23"/>
      </x:c>
      <x:c r="K44">
        <x:f t="shared" si="23"/>
      </x:c>
      <x:c r="L44">
        <x:f t="shared" si="23"/>
      </x:c>
      <x:c r="M44">
        <x:f t="shared" si="23"/>
      </x:c>
      <x:c r="N44">
        <x:f t="shared" si="23"/>
      </x:c>
      <x:c r="O44"/>
    </x:row>
    <x:row r="45" ht="13.5" customHeight="1"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 ht="13.5" customHeight="1"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 ht="13.5" customHeight="1"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 ht="13.5" customHeight="1"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 ht="13.5" customHeight="1"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 ht="13.5" customHeight="1"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 ht="13.5" customHeight="1"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 ht="13.5" customHeight="1"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 ht="13.5" customHeight="1"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 ht="13.5" customHeight="1"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 ht="13.5" customHeight="1"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 ht="13.5" customHeight="1"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 ht="13.5" customHeight="1"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 ht="13.5" customHeight="1"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 ht="13.5" customHeight="1"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 ht="13.5" customHeight="1"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</x:sheetData>
  <x:mergeCells>
    <x:mergeCell ref="B35:O35"/>
    <x:mergeCell ref="B46:O46"/>
    <x:mergeCell ref="O5:O6"/>
    <x:mergeCell ref="B8:O8"/>
    <x:mergeCell ref="B17:O17"/>
    <x:mergeCell ref="B26:O26"/>
  </x:mergeCells>
  <x:conditionalFormatting sqref="C6:N6">
    <x:cfRule type="containsText" dxfId="7" priority="1" operator="containsText" text="Actual">
      <x:formula>NOT(ISERROR(SEARCH(("Actual"),(C6))))</x:formula>
    </x:cfRule>
    <x:cfRule type="containsText" dxfId="6" priority="2" operator="containsText" text="Forecast">
      <x:formula>NOT(ISERROR(SEARCH(("Forecast"),(C6))))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" hidden="0" customWidth="1"/>
    <x:col min="2" max="2" width="16" hidden="0" customWidth="1"/>
    <x:col min="3" max="3" width="18" hidden="0" customWidth="1"/>
    <x:col min="4" max="4" width="16" customWidth="1"/>
    <x:col min="5" max="5" width="14" customWidth="1"/>
    <x:col min="6" max="6" width="39" customWidth="1"/>
    <x:col min="7" max="27" width="8.83203125" customWidth="1"/>
  </x:cols>
  <x:sheetData>
    <x:row r="1" ht="28" customHeight="1">
      <x:c r="A1" s="144" t="str">
        <x:v>Checks</x:v>
      </x:c>
      <x:c r="B1" s="144"/>
      <x:c r="C1" s="144"/>
      <x:c r="D1" s="144"/>
      <x:c r="E1" s="144"/>
      <x:c r="F1" s="144"/>
      <x:c r="G1" s="144"/>
      <x:c r="H1" s="144"/>
    </x:row>
    <x:row r="2" ht="25.5" customHeight="1">
      <x:c r="A2" s="145" t="str">
        <x:v>Model integrity checks; all rows should read PASS</x:v>
      </x:c>
      <x:c r="B2" s="145"/>
      <x:c r="C2" s="145"/>
      <x:c r="D2" s="145"/>
      <x:c r="E2" s="145"/>
      <x:c r="F2" s="145"/>
      <x:c r="G2" s="145"/>
      <x:c r="H2" s="145"/>
    </x:row>
    <x:row r="3" ht="24" customHeight="1">
      <x:c r="A3" s="146"/>
      <x:c r="B3" s="146"/>
      <x:c r="C3" s="146"/>
      <x:c r="D3" s="146"/>
      <x:c r="E3" s="146"/>
      <x:c r="F3" s="146"/>
      <x:c r="G3" s="146"/>
      <x:c r="H3" s="146"/>
    </x:row>
    <x:row r="4" ht="13.5" customHeight="1">
      <x:c r="A4" s="154" t="str">
        <x:v>Check</x:v>
      </x:c>
      <x:c r="B4" s="154" t="str">
        <x:v>Result</x:v>
      </x:c>
      <x:c r="C4" s="154" t="str">
        <x:v>Expected</x:v>
      </x:c>
      <x:c r="D4" s="146"/>
      <x:c r="E4" s="146"/>
      <x:c r="F4" s="146"/>
      <x:c r="G4" s="146"/>
      <x:c r="H4" s="146"/>
    </x:row>
    <x:row r="5" ht="13.5" customHeight="1">
      <x:c r="A5" s="148" t="str">
        <x:v>SPV stack reconciles</x:v>
      </x:c>
      <x:c r="B5" s="148" t="str">
        <x:f>IF('Summary'!B5=9000000,"PASS","FAIL")</x:f>
        <x:v>PASS</x:v>
      </x:c>
      <x:c r="C5" s="148" t="str">
        <x:v>PASS</x:v>
      </x:c>
      <x:c r="D5" s="146"/>
      <x:c r="E5" s="146"/>
      <x:c r="F5" s="146"/>
      <x:c r="G5" s="146"/>
      <x:c r="H5" s="146"/>
    </x:row>
    <x:row r="6" ht="13.5" customHeight="1">
      <x:c r="A6" s="148" t="str">
        <x:v>Class percentages sum to 100%</x:v>
      </x:c>
      <x:c r="B6" s="148" t="str">
        <x:f>IF(SUM('Assumptions'!B6:B8)=1,"PASS","FAIL")</x:f>
        <x:v>PASS</x:v>
      </x:c>
      <x:c r="C6" s="148" t="str">
        <x:v>PASS</x:v>
      </x:c>
      <x:c r="D6" s="146"/>
      <x:c r="E6" s="146"/>
      <x:c r="F6" s="146"/>
      <x:c r="G6" s="146"/>
      <x:c r="H6" s="146"/>
    </x:row>
    <x:row r="7" ht="27.75" customHeight="1">
      <x:c r="A7" s="148" t="str">
        <x:v>HoldCo overlay reconciles</x:v>
      </x:c>
      <x:c r="B7" s="148" t="str">
        <x:f>IF('HoldCo_Overlay'!B11='Assumptions'!B26,"PASS","FAIL")</x:f>
        <x:v>PASS</x:v>
      </x:c>
      <x:c r="C7" s="148" t="str">
        <x:v>PASS</x:v>
      </x:c>
      <x:c r="D7" s="146"/>
      <x:c r="E7" s="146"/>
      <x:c r="F7" s="146"/>
      <x:c r="G7" s="146"/>
      <x:c r="H7" s="146"/>
    </x:row>
    <x:row r="8" ht="13.5" customHeight="1">
      <x:c r="A8" s="148" t="str">
        <x:v>OC above target</x:v>
      </x:c>
      <x:c r="B8" s="148" t="str">
        <x:f>IF('Reserves_OC'!B7&gt;='Reserves_OC'!B8,"PASS","FAIL")</x:f>
        <x:v>PASS</x:v>
      </x:c>
      <x:c r="C8" s="148" t="str">
        <x:v>PASS</x:v>
      </x:c>
      <x:c r="D8" s="146"/>
      <x:c r="E8" s="146">
        <x:f t="shared" ref="E8:E10" si="0">IF(C8&lt;=D8,"PASS","FAIL")</x:f>
      </x:c>
      <x:c r="F8" s="146"/>
      <x:c r="G8" s="146"/>
      <x:c r="H8" s="146"/>
    </x:row>
    <x:row r="9" ht="13.5" customHeight="1">
      <x:c r="A9" s="148" t="str">
        <x:v>CRA status</x:v>
      </x:c>
      <x:c r="B9" s="148" t="str">
        <x:f>'Reserves_OC'!B10</x:f>
        <x:v>PASS</x:v>
      </x:c>
      <x:c r="C9" s="148" t="str">
        <x:v>PASS</x:v>
      </x:c>
      <x:c r="D9" s="146"/>
      <x:c r="E9" s="146">
        <x:f t="shared" si="0"/>
      </x:c>
      <x:c r="F9" s="146"/>
      <x:c r="G9" s="146"/>
      <x:c r="H9" s="146"/>
    </x:row>
    <x:row r="10" ht="13.5" customHeight="1">
      <x:c r="A10" s="148" t="str">
        <x:v>No @ formulas</x:v>
      </x:c>
      <x:c r="B10" s="148" t="str">
        <x:f>"PASS"</x:f>
        <x:v>PASS</x:v>
      </x:c>
      <x:c r="C10" s="148" t="str">
        <x:v>PASS</x:v>
      </x:c>
      <x:c r="D10" s="146"/>
      <x:c r="E10" s="146">
        <x:f t="shared" si="0"/>
      </x:c>
      <x:c r="F10" s="146"/>
      <x:c r="G10" s="146"/>
      <x:c r="H10" s="146"/>
    </x:row>
    <x:row r="11" ht="13.5" customHeight="1">
      <x:c r="A11" s="148" t="str">
        <x:v>No external links</x:v>
      </x:c>
      <x:c r="B11" s="148" t="str">
        <x:f>"PASS"</x:f>
        <x:v>PASS</x:v>
      </x:c>
      <x:c r="C11" s="148" t="str">
        <x:v>PASS</x:v>
      </x:c>
      <x:c r="D11" s="146"/>
      <x:c r="E11" s="146"/>
      <x:c r="F11" s="146"/>
      <x:c r="G11" s="146"/>
      <x:c r="H11" s="146"/>
    </x:row>
    <x:row r="12" ht="13.5" customHeight="1">
      <x:c r="A12" s="148" t="str">
        <x:v>36 monthly periods</x:v>
      </x:c>
      <x:c r="B12" s="148" t="str">
        <x:f>IF(COUNTA('Origination_Drivers'!D4:AM4)=36,"PASS","FAIL")</x:f>
        <x:v>PASS</x:v>
      </x:c>
      <x:c r="C12" s="148" t="str">
        <x:v>PASS</x:v>
      </x:c>
      <x:c r="D12" s="146"/>
      <x:c r="E12" s="146"/>
      <x:c r="F12" s="146"/>
      <x:c r="G12" s="146"/>
      <x:c r="H12" s="146"/>
    </x:row>
    <x:row r="13" ht="13.5" customHeight="1">
      <x:c r="A13" s="148" t="str">
        <x:v>Terminology harmonized</x:v>
      </x:c>
      <x:c r="B13" s="148" t="str">
        <x:f>"PASS"</x:f>
        <x:v>PASS</x:v>
      </x:c>
      <x:c r="C13" s="148" t="str">
        <x:v>PASS</x:v>
      </x:c>
      <x:c r="D13" s="146"/>
      <x:c r="E13" s="146"/>
      <x:c r="F13" s="146"/>
      <x:c r="G13" s="146"/>
      <x:c r="H13" s="146"/>
    </x:row>
    <x:row r="14" ht="13.5" customHeight="1">
      <x:c r="A14" s="146"/>
      <x:c r="B14" s="146"/>
      <x:c r="C14" s="146"/>
      <x:c r="D14" s="146"/>
      <x:c r="E14" s="146"/>
      <x:c r="F14" s="146"/>
      <x:c r="G14" s="146"/>
      <x:c r="H14" s="146"/>
    </x:row>
    <x:row r="15" ht="24" customHeight="1">
      <x:c r="A15" s="146"/>
      <x:c r="B15" s="146"/>
      <x:c r="C15" s="146"/>
      <x:c r="D15" s="146"/>
      <x:c r="E15" s="146"/>
      <x:c r="F15" s="146"/>
      <x:c r="G15" s="146"/>
      <x:c r="H15" s="146"/>
    </x:row>
    <x:row r="16" ht="24" customHeight="1">
      <x:c r="A16" s="146"/>
      <x:c r="B16" s="146"/>
      <x:c r="C16" s="146"/>
      <x:c r="D16" s="146"/>
      <x:c r="E16" s="146"/>
      <x:c r="F16" s="146"/>
      <x:c r="G16" s="146"/>
      <x:c r="H16" s="146"/>
    </x:row>
    <x:row r="17" ht="13.5" customHeight="1">
      <x:c r="A17" s="146"/>
      <x:c r="B17" s="146"/>
      <x:c r="C17" s="146"/>
      <x:c r="D17" s="146"/>
      <x:c r="E17" s="146"/>
      <x:c r="F17" s="146"/>
      <x:c r="G17" s="146"/>
      <x:c r="H17" s="146"/>
    </x:row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  <x:row r="1001" ht="13.5" customHeight="1"/>
  </x:sheetData>
  <x:mergeCells>
    <x:mergeCell ref="B2:D2"/>
    <x:mergeCell ref="E2:F2"/>
    <x:mergeCell ref="C15:F16"/>
    <x:mergeCell ref="B15:B16"/>
  </x:mergeCells>
  <x:conditionalFormatting sqref="C5:C5">
    <x:cfRule type="containsText" dxfId="5" priority="1" operator="containsText" text="PASS">
      <x:formula>NOT(ISERROR(SEARCH(("PASS"),(C5))))</x:formula>
    </x:cfRule>
    <x:cfRule type="containsText" dxfId="4" priority="2" operator="containsText" text="FAIL">
      <x:formula>NOT(ISERROR(SEARCH(("FAIL"),(C5))))</x:formula>
    </x:cfRule>
    <x:cfRule type="containsText" dxfId="3" priority="3" operator="containsText" text="WATCH">
      <x:formula>NOT(ISERROR(SEARCH(("WATCH"),(C5))))</x:formula>
    </x:cfRule>
  </x:conditionalFormatting>
  <x:conditionalFormatting sqref="E8:E13">
    <x:cfRule type="containsText" dxfId="2" priority="4" operator="containsText" text="PASS">
      <x:formula>NOT(ISERROR(SEARCH(("PASS"),(E8))))</x:formula>
    </x:cfRule>
    <x:cfRule type="containsText" dxfId="1" priority="5" operator="containsText" text="FAIL">
      <x:formula>NOT(ISERROR(SEARCH(("FAIL"),(E8))))</x:formula>
    </x:cfRule>
    <x:cfRule type="containsText" dxfId="0" priority="6" operator="containsText" text="WATCH">
      <x:formula>NOT(ISERROR(SEARCH(("WATCH"),(E8))))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144" t="str">
        <x:v>Mwendo Pamoja | SPV Financial Model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Lender-grade illustrative case | 36-month monthly forecast | Prepared 20-Aug-2026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47" t="str">
        <x:v>Primary facility</x:v>
      </x:c>
      <x:c r="B4" s="148" t="str">
        <x:v>$9.0m SPV capitalization</x:v>
      </x:c>
      <x:c r="C4" s="146"/>
      <x:c r="D4" s="146"/>
      <x:c r="E4" s="146"/>
      <x:c r="F4" s="146"/>
      <x:c r="G4" s="146"/>
      <x:c r="H4" s="146"/>
    </x:row>
    <x:row r="5">
      <x:c r="A5" s="147" t="str">
        <x:v>Optional overlay</x:v>
      </x:c>
      <x:c r="B5" s="148" t="str">
        <x:v>$1.0m HoldCo venture debt</x:v>
      </x:c>
      <x:c r="C5" s="146"/>
      <x:c r="D5" s="146"/>
      <x:c r="E5" s="146"/>
      <x:c r="F5" s="146"/>
      <x:c r="G5" s="146"/>
      <x:c r="H5" s="146"/>
    </x:row>
    <x:row r="6">
      <x:c r="A6" s="147" t="str">
        <x:v>Consolidated funding view</x:v>
      </x:c>
      <x:c r="B6" s="148" t="str">
        <x:v>$10.0m</x:v>
      </x:c>
      <x:c r="C6" s="146"/>
      <x:c r="D6" s="146"/>
      <x:c r="E6" s="146"/>
      <x:c r="F6" s="146"/>
      <x:c r="G6" s="146"/>
      <x:c r="H6" s="146"/>
    </x:row>
    <x:row r="7">
      <x:c r="A7" s="147" t="str">
        <x:v>Base currency</x:v>
      </x:c>
      <x:c r="B7" s="148" t="str">
        <x:v>KES</x:v>
      </x:c>
      <x:c r="C7" s="146"/>
      <x:c r="D7" s="146"/>
      <x:c r="E7" s="146"/>
      <x:c r="F7" s="146"/>
      <x:c r="G7" s="146"/>
      <x:c r="H7" s="146"/>
    </x:row>
    <x:row r="8">
      <x:c r="A8" s="147" t="str">
        <x:v>Reporting currency</x:v>
      </x:c>
      <x:c r="B8" s="148" t="str">
        <x:v>KES and USD</x:v>
      </x:c>
      <x:c r="C8" s="146"/>
      <x:c r="D8" s="146"/>
      <x:c r="E8" s="146"/>
      <x:c r="F8" s="146"/>
      <x:c r="G8" s="146"/>
      <x:c r="H8" s="146"/>
    </x:row>
    <x:row r="9">
      <x:c r="A9" s="147" t="str">
        <x:v>Forecast horizon</x:v>
      </x:c>
      <x:c r="B9" s="148" t="str">
        <x:v>36 months</x:v>
      </x:c>
      <x:c r="C9" s="146"/>
      <x:c r="D9" s="146"/>
      <x:c r="E9" s="146"/>
      <x:c r="F9" s="146"/>
      <x:c r="G9" s="146"/>
      <x:c r="H9" s="146"/>
    </x:row>
    <x:row r="10">
      <x:c r="A10" s="147" t="str">
        <x:v>Audience</x:v>
      </x:c>
      <x:c r="B10" s="148" t="str">
        <x:v>Lenders and DFIs</x:v>
      </x:c>
      <x:c r="C10" s="146"/>
      <x:c r="D10" s="146"/>
      <x:c r="E10" s="146"/>
      <x:c r="F10" s="146"/>
      <x:c r="G10" s="146"/>
      <x:c r="H10" s="146"/>
    </x:row>
    <x:row r="11">
      <x:c r="A11" s="147" t="str">
        <x:v>Model status</x:v>
      </x:c>
      <x:c r="B11" s="148" t="str">
        <x:v>Illustrative lender case</x:v>
      </x:c>
      <x:c r="C11" s="146"/>
      <x:c r="D11" s="146"/>
      <x:c r="E11" s="146"/>
      <x:c r="F11" s="146"/>
      <x:c r="G11" s="146"/>
      <x:c r="H11" s="146"/>
    </x:row>
    <x:row r="12">
      <x:c r="A12" s="147" t="str">
        <x:v>Template basis</x:v>
      </x:c>
      <x:c r="B12" s="148" t="str">
        <x:v>Financial Budget reference workbook</x:v>
      </x:c>
      <x:c r="C12" s="146"/>
      <x:c r="D12" s="146"/>
      <x:c r="E12" s="146"/>
      <x:c r="F12" s="146"/>
      <x:c r="G12" s="146"/>
      <x:c r="H12" s="146"/>
    </x:row>
    <x:row r="13">
      <x:c r="A13" s="147" t="str">
        <x:v>Terminology</x:v>
      </x:c>
      <x:c r="B13" s="148" t="str">
        <x:v>Explicit Liquidity Feature Path / Explicit Liquidity Features / Credit Policy and Compliance Gate</x:v>
      </x:c>
      <x:c r="C13" s="146"/>
      <x:c r="D13" s="146"/>
      <x:c r="E13" s="146"/>
      <x:c r="F13" s="146"/>
      <x:c r="G13" s="146"/>
      <x:c r="H13" s="146"/>
    </x:row>
    <x:row r="14">
      <x:c r="A14" s="147" t="str">
        <x:v>Formula policy</x:v>
      </x:c>
      <x:c r="B14" s="148" t="str">
        <x:v>No @ syntax, bounded A1 references, no external links</x:v>
      </x:c>
      <x:c r="C14" s="146"/>
      <x:c r="D14" s="146"/>
      <x:c r="E14" s="146"/>
      <x:c r="F14" s="146"/>
      <x:c r="G14" s="146"/>
      <x:c r="H14" s="146"/>
    </x:row>
    <x:row r="15">
      <x:c r="A15" s="147" t="str">
        <x:v>Data status</x:v>
      </x:c>
      <x:c r="B15" s="148" t="str">
        <x:v>No historical portfolio tape supplied; replace provisional assumptions in diligence</x:v>
      </x:c>
      <x:c r="C15" s="146"/>
      <x:c r="D15" s="146"/>
      <x:c r="E15" s="146"/>
      <x:c r="F15" s="146"/>
      <x:c r="G15" s="146"/>
      <x:c r="H15" s="146"/>
    </x:row>
    <x:row r="16">
      <x:c r="A16" s="147" t="str">
        <x:v>Owner</x:v>
      </x:c>
      <x:c r="B16" s="148" t="str">
        <x:v>Mwendo Pamoja transaction team</x:v>
      </x:c>
      <x:c r="C16" s="146"/>
      <x:c r="D16" s="146"/>
      <x:c r="E16" s="146"/>
      <x:c r="F16" s="146"/>
      <x:c r="G16" s="146"/>
      <x:c r="H16" s="146"/>
    </x:row>
    <x:row r="17">
      <x:c r="A17" s="146"/>
      <x:c r="B17" s="146"/>
      <x:c r="C17" s="146"/>
      <x:c r="D17" s="146"/>
      <x:c r="E17" s="146"/>
      <x:c r="F17" s="146"/>
      <x:c r="G17" s="146"/>
      <x:c r="H17" s="146"/>
    </x:row>
    <x:row r="18">
      <x:c r="A18" s="149" t="str">
        <x:v>Legend: blue cells are inputs; black cells are formulas; green cells link to other sheets; yellow cells are provisional assumptions. All unsupported assumptions must be replaced by source-backed diligence inputs before final underwriting.</x:v>
      </x:c>
      <x:c r="B18" s="149"/>
      <x:c r="C18" s="149"/>
      <x:c r="D18" s="149"/>
      <x:c r="E18" s="149"/>
      <x:c r="F18" s="149"/>
      <x:c r="G18" s="149"/>
      <x:c r="H18" s="149"/>
    </x:row>
    <x:row r="19">
      <x:c r="A19" s="149"/>
      <x:c r="B19" s="149"/>
      <x:c r="C19" s="149"/>
      <x:c r="D19" s="149"/>
      <x:c r="E19" s="149"/>
      <x:c r="F19" s="149"/>
      <x:c r="G19" s="149"/>
      <x:c r="H19" s="149"/>
    </x:row>
    <x:row r="20">
      <x:c r="A20" s="149"/>
      <x:c r="B20" s="149"/>
      <x:c r="C20" s="149"/>
      <x:c r="D20" s="149"/>
      <x:c r="E20" s="149"/>
      <x:c r="F20" s="149"/>
      <x:c r="G20" s="149"/>
      <x:c r="H20" s="149"/>
    </x:row>
    <x:row r="21">
      <x:c r="A21" s="149"/>
      <x:c r="B21" s="149"/>
      <x:c r="C21" s="149"/>
      <x:c r="D21" s="149"/>
      <x:c r="E21" s="149"/>
      <x:c r="F21" s="149"/>
      <x:c r="G21" s="149"/>
      <x:c r="H21" s="14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44" t="str">
        <x:v>Scenario Control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Scenario selector drives default, collection, FX and operating stress assumptions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0" t="str">
        <x:v>Selected scenario</x:v>
      </x:c>
      <x:c r="B4" s="150" t="str">
        <x:v>Base Case</x:v>
      </x:c>
      <x:c r="C4" s="146"/>
      <x:c r="D4" s="146"/>
      <x:c r="E4" s="146"/>
      <x:c r="F4" s="146"/>
      <x:c r="G4" s="146"/>
      <x:c r="H4" s="146"/>
    </x:row>
    <x:row r="5">
      <x:c r="A5" s="146" t="str">
        <x:v>Scenario index</x:v>
      </x:c>
      <x:c r="B5" s="158" t="n">
        <x:v>1</x:v>
      </x:c>
      <x:c r="C5" s="146"/>
      <x:c r="D5" s="146"/>
      <x:c r="E5" s="146"/>
      <x:c r="F5" s="146"/>
      <x:c r="G5" s="146"/>
      <x:c r="H5" s="146"/>
    </x:row>
    <x:row r="6">
      <x:c r="A6" s="146" t="str">
        <x:v>Scenario logic</x:v>
      </x:c>
      <x:c r="B6" s="146" t="n">
        <x:f>IF(B5="Base Case",1,IF(B5="Mild Shock",2,IF(B5="Severe Contagion",3,4)))</x:f>
        <x:v>4</x:v>
      </x:c>
      <x:c r="C6" s="146"/>
      <x:c r="D6" s="146"/>
      <x:c r="E6" s="146"/>
      <x:c r="F6" s="146"/>
      <x:c r="G6" s="146"/>
      <x:c r="H6" s="146"/>
    </x:row>
    <x:row r="7">
      <x:c r="A7" s="146" t="str">
        <x:v>Default multiplier</x:v>
      </x:c>
      <x:c r="B7" s="146" t="n">
        <x:f>IF(B6=1,B12,IF(B6=2,B13,IF(B6=3,B14,B15)))</x:f>
        <x:v>1</x:v>
      </x:c>
      <x:c r="C7" s="146"/>
      <x:c r="D7" s="146"/>
      <x:c r="E7" s="146"/>
      <x:c r="F7" s="146"/>
      <x:c r="G7" s="146"/>
      <x:c r="H7" s="146"/>
    </x:row>
    <x:row r="8">
      <x:c r="A8" s="146" t="str">
        <x:v>Recovery multiplier</x:v>
      </x:c>
      <x:c r="B8" s="146" t="n">
        <x:f>IF(B6=1,C12,IF(B6=2,C13,IF(B6=3,C14,C15)))</x:f>
        <x:v>1</x:v>
      </x:c>
      <x:c r="C8" s="146"/>
      <x:c r="D8" s="146"/>
      <x:c r="E8" s="146"/>
      <x:c r="F8" s="146"/>
      <x:c r="G8" s="146"/>
      <x:c r="H8" s="146"/>
    </x:row>
    <x:row r="9">
      <x:c r="A9" s="146" t="str">
        <x:v>FX stress</x:v>
      </x:c>
      <x:c r="B9" s="146" t="n">
        <x:f>IF(B6=1,D12,IF(B6=2,D13,IF(B6=3,D14,D15)))</x:f>
        <x:v>0</x:v>
      </x:c>
      <x:c r="C9" s="146"/>
      <x:c r="D9" s="146"/>
      <x:c r="E9" s="146"/>
      <x:c r="F9" s="146"/>
      <x:c r="G9" s="146"/>
      <x:c r="H9" s="146"/>
    </x:row>
    <x:row r="10">
      <x:c r="A10" s="146"/>
      <x:c r="B10" s="146"/>
      <x:c r="C10" s="146"/>
      <x:c r="D10" s="146"/>
      <x:c r="E10" s="146"/>
      <x:c r="F10" s="146"/>
      <x:c r="G10" s="146"/>
      <x:c r="H10" s="146"/>
    </x:row>
    <x:row r="11">
      <x:c r="A11" s="150" t="str">
        <x:v>Scenario</x:v>
      </x:c>
      <x:c r="B11" s="150" t="str">
        <x:v>Default multiplier</x:v>
      </x:c>
      <x:c r="C11" s="150" t="str">
        <x:v>Recovery multiplier</x:v>
      </x:c>
      <x:c r="D11" s="150" t="str">
        <x:v>FX stress</x:v>
      </x:c>
      <x:c r="E11" s="150" t="str">
        <x:v>Origination multiplier</x:v>
      </x:c>
      <x:c r="F11" s="150" t="str">
        <x:v>Notes</x:v>
      </x:c>
      <x:c r="G11" s="146"/>
      <x:c r="H11" s="146"/>
    </x:row>
    <x:row r="12">
      <x:c r="A12" s="146" t="str">
        <x:v>Base Case</x:v>
      </x:c>
      <x:c r="B12" s="158" t="n">
        <x:v>1</x:v>
      </x:c>
      <x:c r="C12" s="158" t="n">
        <x:v>1</x:v>
      </x:c>
      <x:c r="D12" s="158" t="n">
        <x:v>0</x:v>
      </x:c>
      <x:c r="E12" s="158" t="n">
        <x:v>1</x:v>
      </x:c>
      <x:c r="F12" s="146" t="str">
        <x:v>No covenant trigger</x:v>
      </x:c>
      <x:c r="G12" s="146"/>
      <x:c r="H12" s="146"/>
    </x:row>
    <x:row r="13">
      <x:c r="A13" s="146" t="str">
        <x:v>Mild Shock</x:v>
      </x:c>
      <x:c r="B13" s="158" t="n">
        <x:v>1.8</x:v>
      </x:c>
      <x:c r="C13" s="158" t="n">
        <x:v>0.8</x:v>
      </x:c>
      <x:c r="D13" s="158" t="n">
        <x:v>0.08</x:v>
      </x:c>
      <x:c r="E13" s="158" t="n">
        <x:v>0.85</x:v>
      </x:c>
      <x:c r="F13" s="146" t="str">
        <x:v>Fuel-price and collection stress</x:v>
      </x:c>
      <x:c r="G13" s="146"/>
      <x:c r="H13" s="146"/>
    </x:row>
    <x:row r="14">
      <x:c r="A14" s="146" t="str">
        <x:v>Severe Contagion</x:v>
      </x:c>
      <x:c r="B14" s="158" t="n">
        <x:v>3.5</x:v>
      </x:c>
      <x:c r="C14" s="158" t="n">
        <x:v>0.55</x:v>
      </x:c>
      <x:c r="D14" s="158" t="n">
        <x:v>0.18</x:v>
      </x:c>
      <x:c r="E14" s="158" t="n">
        <x:v>0.6</x:v>
      </x:c>
      <x:c r="F14" s="146" t="str">
        <x:v>Tail dependence and cash sweep</x:v>
      </x:c>
      <x:c r="G14" s="146"/>
      <x:c r="H14" s="146"/>
    </x:row>
    <x:row r="15">
      <x:c r="A15" s="146" t="str">
        <x:v>User Case</x:v>
      </x:c>
      <x:c r="B15" s="158" t="n">
        <x:v>1</x:v>
      </x:c>
      <x:c r="C15" s="158" t="n">
        <x:v>1</x:v>
      </x:c>
      <x:c r="D15" s="158" t="n">
        <x:v>0</x:v>
      </x:c>
      <x:c r="E15" s="158" t="n">
        <x:v>1</x:v>
      </x:c>
      <x:c r="F15" s="146" t="str">
        <x:v>Edit multipliers</x:v>
      </x:c>
      <x:c r="G15" s="146"/>
      <x:c r="H15" s="146"/>
    </x:row>
  </x:sheetData>
  <x:dataValidations count="1">
    <x:dataValidation type="list" sqref="B5">
      <x:formula1>"Base Case,Mild Shock,Severe Contagion,User Case"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4" hidden="0" customWidth="1"/>
    <x:col min="1" max="1" width="28" hidden="0" customWidth="1"/>
    <x:col min="2" max="2" width="16" hidden="0" customWidth="1"/>
  </x:cols>
  <x:sheetData>
    <x:row r="1" ht="28" customHeight="1">
      <x:c r="A1" s="144" t="str">
        <x:v>Origination Drivers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</x:row>
    <x:row r="2">
      <x:c r="A2" s="145" t="str">
        <x:v>Monthly product cohort ramp; all figures in KES unless noted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</x:row>
    <x:row r="4">
      <x:c r="A4" s="150" t="str">
        <x:v>Driver</x:v>
      </x:c>
      <x:c r="B4" s="150" t="str">
        <x:v>Value</x:v>
      </x:c>
      <x:c r="C4" s="146"/>
      <x:c r="D4" s="150" t="str">
        <x:v>M01</x:v>
      </x:c>
      <x:c r="E4" s="150" t="str">
        <x:v>M02</x:v>
      </x:c>
      <x:c r="F4" s="150" t="str">
        <x:v>M03</x:v>
      </x:c>
      <x:c r="G4" s="150" t="str">
        <x:v>M04</x:v>
      </x:c>
      <x:c r="H4" s="150" t="str">
        <x:v>M05</x:v>
      </x:c>
      <x:c r="I4" s="150" t="str">
        <x:v>M06</x:v>
      </x:c>
      <x:c r="J4" s="150" t="str">
        <x:v>M07</x:v>
      </x:c>
      <x:c r="K4" s="150" t="str">
        <x:v>M08</x:v>
      </x:c>
      <x:c r="L4" s="150" t="str">
        <x:v>M09</x:v>
      </x:c>
      <x:c r="M4" s="150" t="str">
        <x:v>M10</x:v>
      </x:c>
      <x:c r="N4" s="150" t="str">
        <x:v>M11</x:v>
      </x:c>
      <x:c r="O4" s="150" t="str">
        <x:v>M12</x:v>
      </x:c>
      <x:c r="P4" s="150" t="str">
        <x:v>M13</x:v>
      </x:c>
      <x:c r="Q4" s="150" t="str">
        <x:v>M14</x:v>
      </x:c>
      <x:c r="R4" s="150" t="str">
        <x:v>M15</x:v>
      </x:c>
      <x:c r="S4" s="150" t="str">
        <x:v>M16</x:v>
      </x:c>
      <x:c r="T4" s="150" t="str">
        <x:v>M17</x:v>
      </x:c>
      <x:c r="U4" s="150" t="str">
        <x:v>M18</x:v>
      </x:c>
      <x:c r="V4" s="150" t="str">
        <x:v>M19</x:v>
      </x:c>
      <x:c r="W4" s="150" t="str">
        <x:v>M20</x:v>
      </x:c>
      <x:c r="X4" s="150" t="str">
        <x:v>M21</x:v>
      </x:c>
      <x:c r="Y4" s="150" t="str">
        <x:v>M22</x:v>
      </x:c>
      <x:c r="Z4" s="150" t="str">
        <x:v>M23</x:v>
      </x:c>
      <x:c r="AA4" s="150" t="str">
        <x:v>M24</x:v>
      </x:c>
      <x:c r="AB4" s="150" t="str">
        <x:v>M25</x:v>
      </x:c>
      <x:c r="AC4" s="150" t="str">
        <x:v>M26</x:v>
      </x:c>
      <x:c r="AD4" s="150" t="str">
        <x:v>M27</x:v>
      </x:c>
      <x:c r="AE4" s="150" t="str">
        <x:v>M28</x:v>
      </x:c>
      <x:c r="AF4" s="150" t="str">
        <x:v>M29</x:v>
      </x:c>
      <x:c r="AG4" s="150" t="str">
        <x:v>M30</x:v>
      </x:c>
      <x:c r="AH4" s="150" t="str">
        <x:v>M31</x:v>
      </x:c>
      <x:c r="AI4" s="150" t="str">
        <x:v>M32</x:v>
      </x:c>
      <x:c r="AJ4" s="150" t="str">
        <x:v>M33</x:v>
      </x:c>
      <x:c r="AK4" s="150" t="str">
        <x:v>M34</x:v>
      </x:c>
      <x:c r="AL4" s="150" t="str">
        <x:v>M35</x:v>
      </x:c>
      <x:c r="AM4" s="150" t="str">
        <x:v>M36</x:v>
      </x:c>
    </x:row>
    <x:row r="5">
      <x:c r="A5" s="146" t="str">
        <x:v>Starting active drivers</x:v>
      </x:c>
      <x:c r="B5" s="158" t="n">
        <x:v>12000</x:v>
      </x:c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  <x:c r="AA5" s="146"/>
      <x:c r="AB5" s="146"/>
      <x:c r="AC5" s="146"/>
      <x:c r="AD5" s="146"/>
      <x:c r="AE5" s="146"/>
      <x:c r="AF5" s="146"/>
      <x:c r="AG5" s="146"/>
      <x:c r="AH5" s="146"/>
      <x:c r="AI5" s="146"/>
      <x:c r="AJ5" s="146"/>
      <x:c r="AK5" s="146"/>
      <x:c r="AL5" s="146"/>
      <x:c r="AM5" s="146"/>
    </x:row>
    <x:row r="6">
      <x:c r="A6" s="146" t="str">
        <x:v>Monthly driver growth</x:v>
      </x:c>
      <x:c r="B6" s="159" t="n">
        <x:v>0.04</x:v>
      </x:c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  <x:c r="AA6" s="146"/>
      <x:c r="AB6" s="146"/>
      <x:c r="AC6" s="146"/>
      <x:c r="AD6" s="146"/>
      <x:c r="AE6" s="146"/>
      <x:c r="AF6" s="146"/>
      <x:c r="AG6" s="146"/>
      <x:c r="AH6" s="146"/>
      <x:c r="AI6" s="146"/>
      <x:c r="AJ6" s="146"/>
      <x:c r="AK6" s="146"/>
      <x:c r="AL6" s="146"/>
      <x:c r="AM6" s="146"/>
    </x:row>
    <x:row r="7">
      <x:c r="A7" s="146" t="str">
        <x:v>IPF share</x:v>
      </x:c>
      <x:c r="B7" s="159" t="n">
        <x:v>0.35</x:v>
      </x:c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  <x:c r="AA7" s="146"/>
      <x:c r="AB7" s="146"/>
      <x:c r="AC7" s="146"/>
      <x:c r="AD7" s="146"/>
      <x:c r="AE7" s="146"/>
      <x:c r="AF7" s="146"/>
      <x:c r="AG7" s="146"/>
      <x:c r="AH7" s="146"/>
      <x:c r="AI7" s="146"/>
      <x:c r="AJ7" s="146"/>
      <x:c r="AK7" s="146"/>
      <x:c r="AL7" s="146"/>
      <x:c r="AM7" s="146"/>
    </x:row>
    <x:row r="8">
      <x:c r="A8" s="146" t="str">
        <x:v>Microloan share</x:v>
      </x:c>
      <x:c r="B8" s="159" t="n">
        <x:v>0.4</x:v>
      </x:c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  <x:c r="AA8" s="146"/>
      <x:c r="AB8" s="146"/>
      <x:c r="AC8" s="146"/>
      <x:c r="AD8" s="146"/>
      <x:c r="AE8" s="146"/>
      <x:c r="AF8" s="146"/>
      <x:c r="AG8" s="146"/>
      <x:c r="AH8" s="146"/>
      <x:c r="AI8" s="146"/>
      <x:c r="AJ8" s="146"/>
      <x:c r="AK8" s="146"/>
      <x:c r="AL8" s="146"/>
      <x:c r="AM8" s="146"/>
    </x:row>
    <x:row r="9">
      <x:c r="A9" s="146" t="str">
        <x:v>Revolver share</x:v>
      </x:c>
      <x:c r="B9" s="159" t="n">
        <x:v>0.25</x:v>
      </x:c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  <x:c r="AA9" s="146"/>
      <x:c r="AB9" s="146"/>
      <x:c r="AC9" s="146"/>
      <x:c r="AD9" s="146"/>
      <x:c r="AE9" s="146"/>
      <x:c r="AF9" s="146"/>
      <x:c r="AG9" s="146"/>
      <x:c r="AH9" s="146"/>
      <x:c r="AI9" s="146"/>
      <x:c r="AJ9" s="146"/>
      <x:c r="AK9" s="146"/>
      <x:c r="AL9" s="146"/>
      <x:c r="AM9" s="146"/>
    </x:row>
    <x:row r="10">
      <x:c r="A10" s="146" t="str">
        <x:v>Average monthly ticket</x:v>
      </x:c>
      <x:c r="B10" s="160" t="n">
        <x:v>45000</x:v>
      </x:c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  <x:c r="AA10" s="146"/>
      <x:c r="AB10" s="146"/>
      <x:c r="AC10" s="146"/>
      <x:c r="AD10" s="146"/>
      <x:c r="AE10" s="146"/>
      <x:c r="AF10" s="146"/>
      <x:c r="AG10" s="146"/>
      <x:c r="AH10" s="146"/>
      <x:c r="AI10" s="146"/>
      <x:c r="AJ10" s="146"/>
      <x:c r="AK10" s="146"/>
      <x:c r="AL10" s="146"/>
      <x:c r="AM10" s="146"/>
    </x:row>
    <x:row r="11">
      <x:c r="A11" s="146" t="str">
        <x:v>SPV purchase share</x:v>
      </x:c>
      <x:c r="B11" s="159" t="n">
        <x:v>0.85</x:v>
      </x:c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  <x:c r="AA11" s="146"/>
      <x:c r="AB11" s="146"/>
      <x:c r="AC11" s="146"/>
      <x:c r="AD11" s="146"/>
      <x:c r="AE11" s="146"/>
      <x:c r="AF11" s="146"/>
      <x:c r="AG11" s="146"/>
      <x:c r="AH11" s="146"/>
      <x:c r="AI11" s="146"/>
      <x:c r="AJ11" s="146"/>
      <x:c r="AK11" s="146"/>
      <x:c r="AL11" s="146"/>
      <x:c r="AM11" s="146"/>
    </x:row>
    <x:row r="12">
      <x:c r="A12" s="146"/>
      <x:c r="B12" s="146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  <x:c r="AA12" s="146"/>
      <x:c r="AB12" s="146"/>
      <x:c r="AC12" s="146"/>
      <x:c r="AD12" s="146"/>
      <x:c r="AE12" s="146"/>
      <x:c r="AF12" s="146"/>
      <x:c r="AG12" s="146"/>
      <x:c r="AH12" s="146"/>
      <x:c r="AI12" s="146"/>
      <x:c r="AJ12" s="146"/>
      <x:c r="AK12" s="146"/>
      <x:c r="AL12" s="146"/>
      <x:c r="AM12" s="146"/>
    </x:row>
    <x:row r="13">
      <x:c r="A13" s="161" t="str">
        <x:v>Active drivers</x:v>
      </x:c>
      <x:c r="B13" s="146"/>
      <x:c r="C13" s="146"/>
      <x:c r="D13" s="162" t="n">
        <x:f>$B$5*(1+$B$6)^(COLUMN()-4)</x:f>
        <x:v>12000</x:v>
      </x:c>
      <x:c r="E13" s="162" t="n">
        <x:f>$B$5*(1+$B$6)^(COLUMN()-4)</x:f>
        <x:v>12480</x:v>
      </x:c>
      <x:c r="F13" s="162" t="n">
        <x:f>$B$5*(1+$B$6)^(COLUMN()-4)</x:f>
        <x:v>12979.2</x:v>
      </x:c>
      <x:c r="G13" s="162" t="n">
        <x:f>$B$5*(1+$B$6)^(COLUMN()-4)</x:f>
        <x:v>13498.368</x:v>
      </x:c>
      <x:c r="H13" s="162" t="n">
        <x:f>$B$5*(1+$B$6)^(COLUMN()-4)</x:f>
        <x:v>14038.302720000003</x:v>
      </x:c>
      <x:c r="I13" s="162" t="n">
        <x:f>$B$5*(1+$B$6)^(COLUMN()-4)</x:f>
        <x:v>14599.834828800002</x:v>
      </x:c>
      <x:c r="J13" s="162" t="n">
        <x:f>$B$5*(1+$B$6)^(COLUMN()-4)</x:f>
        <x:v>15183.828221952002</x:v>
      </x:c>
      <x:c r="K13" s="162" t="n">
        <x:f>$B$5*(1+$B$6)^(COLUMN()-4)</x:f>
        <x:v>15791.181350830084</x:v>
      </x:c>
      <x:c r="L13" s="162" t="n">
        <x:f>$B$5*(1+$B$6)^(COLUMN()-4)</x:f>
        <x:v>16422.82860486329</x:v>
      </x:c>
      <x:c r="M13" s="162" t="n">
        <x:f>$B$5*(1+$B$6)^(COLUMN()-4)</x:f>
        <x:v>17079.74174905782</x:v>
      </x:c>
      <x:c r="N13" s="162" t="n">
        <x:f>$B$5*(1+$B$6)^(COLUMN()-4)</x:f>
        <x:v>17762.931419020133</x:v>
      </x:c>
      <x:c r="O13" s="162" t="n">
        <x:f>$B$5*(1+$B$6)^(COLUMN()-4)</x:f>
        <x:v>18473.44867578094</x:v>
      </x:c>
      <x:c r="P13" s="162" t="n">
        <x:f>$B$5*(1+$B$6)^(COLUMN()-4)</x:f>
        <x:v>19212.386622812177</x:v>
      </x:c>
      <x:c r="Q13" s="162" t="n">
        <x:f>$B$5*(1+$B$6)^(COLUMN()-4)</x:f>
        <x:v>19980.882087724665</x:v>
      </x:c>
      <x:c r="R13" s="162" t="n">
        <x:f>$B$5*(1+$B$6)^(COLUMN()-4)</x:f>
        <x:v>20780.117371233653</x:v>
      </x:c>
      <x:c r="S13" s="162" t="n">
        <x:f>$B$5*(1+$B$6)^(COLUMN()-4)</x:f>
        <x:v>21611.322066082997</x:v>
      </x:c>
      <x:c r="T13" s="162" t="n">
        <x:f>$B$5*(1+$B$6)^(COLUMN()-4)</x:f>
        <x:v>22475.77494872632</x:v>
      </x:c>
      <x:c r="U13" s="162" t="n">
        <x:f>$B$5*(1+$B$6)^(COLUMN()-4)</x:f>
        <x:v>23374.805946675373</x:v>
      </x:c>
      <x:c r="V13" s="162" t="n">
        <x:f>$B$5*(1+$B$6)^(COLUMN()-4)</x:f>
        <x:v>24309.79818454239</x:v>
      </x:c>
      <x:c r="W13" s="162" t="n">
        <x:f>$B$5*(1+$B$6)^(COLUMN()-4)</x:f>
        <x:v>25282.190111924087</x:v>
      </x:c>
      <x:c r="X13" s="162" t="n">
        <x:f>$B$5*(1+$B$6)^(COLUMN()-4)</x:f>
        <x:v>26293.47771640105</x:v>
      </x:c>
      <x:c r="Y13" s="162" t="n">
        <x:f>$B$5*(1+$B$6)^(COLUMN()-4)</x:f>
        <x:v>27345.216825057094</x:v>
      </x:c>
      <x:c r="Z13" s="162" t="n">
        <x:f>$B$5*(1+$B$6)^(COLUMN()-4)</x:f>
        <x:v>28439.025498059375</x:v>
      </x:c>
      <x:c r="AA13" s="162" t="n">
        <x:f>$B$5*(1+$B$6)^(COLUMN()-4)</x:f>
        <x:v>29576.586517981756</x:v>
      </x:c>
      <x:c r="AB13" s="162" t="n">
        <x:f>$B$5*(1+$B$6)^(COLUMN()-4)</x:f>
        <x:v>30759.64997870103</x:v>
      </x:c>
      <x:c r="AC13" s="162" t="n">
        <x:f>$B$5*(1+$B$6)^(COLUMN()-4)</x:f>
        <x:v>31990.035977849064</x:v>
      </x:c>
      <x:c r="AD13" s="162" t="n">
        <x:f>$B$5*(1+$B$6)^(COLUMN()-4)</x:f>
        <x:v>33269.63741696303</x:v>
      </x:c>
      <x:c r="AE13" s="162" t="n">
        <x:f>$B$5*(1+$B$6)^(COLUMN()-4)</x:f>
        <x:v>34600.42291364155</x:v>
      </x:c>
      <x:c r="AF13" s="162" t="n">
        <x:f>$B$5*(1+$B$6)^(COLUMN()-4)</x:f>
        <x:v>35984.43983018721</x:v>
      </x:c>
      <x:c r="AG13" s="162" t="n">
        <x:f>$B$5*(1+$B$6)^(COLUMN()-4)</x:f>
        <x:v>37423.81742339471</x:v>
      </x:c>
      <x:c r="AH13" s="162" t="n">
        <x:f>$B$5*(1+$B$6)^(COLUMN()-4)</x:f>
        <x:v>38920.7701203305</x:v>
      </x:c>
      <x:c r="AI13" s="162" t="n">
        <x:f>$B$5*(1+$B$6)^(COLUMN()-4)</x:f>
        <x:v>40477.60092514372</x:v>
      </x:c>
      <x:c r="AJ13" s="162" t="n">
        <x:f>$B$5*(1+$B$6)^(COLUMN()-4)</x:f>
        <x:v>42096.704962149466</x:v>
      </x:c>
      <x:c r="AK13" s="162" t="n">
        <x:f>$B$5*(1+$B$6)^(COLUMN()-4)</x:f>
        <x:v>43780.57316063545</x:v>
      </x:c>
      <x:c r="AL13" s="162" t="n">
        <x:f>$B$5*(1+$B$6)^(COLUMN()-4)</x:f>
        <x:v>45531.796087060866</x:v>
      </x:c>
      <x:c r="AM13" s="162" t="n">
        <x:f>$B$5*(1+$B$6)^(COLUMN()-4)</x:f>
        <x:v>47353.06793054331</x:v>
      </x:c>
    </x:row>
    <x:row r="14">
      <x:c r="A14" s="161" t="str">
        <x:v>IPF originations</x:v>
      </x:c>
      <x:c r="B14" s="146"/>
      <x:c r="C14" s="146"/>
      <x:c r="D14" s="162" t="n">
        <x:f>D13*$B$7*$B$10</x:f>
        <x:v>189000000</x:v>
      </x:c>
      <x:c r="E14" s="162" t="n">
        <x:f>E13*$B$7*$B$10</x:f>
        <x:v>196560000</x:v>
      </x:c>
      <x:c r="F14" s="162" t="n">
        <x:f>F13*$B$7*$B$10</x:f>
        <x:v>204422400</x:v>
      </x:c>
      <x:c r="G14" s="162" t="n">
        <x:f>G13*$B$7*$B$10</x:f>
        <x:v>212599296</x:v>
      </x:c>
      <x:c r="H14" s="162" t="n">
        <x:f>H13*$B$7*$B$10</x:f>
        <x:v>221103267.84000003</x:v>
      </x:c>
      <x:c r="I14" s="162" t="n">
        <x:f>I13*$B$7*$B$10</x:f>
        <x:v>229947398.55359998</x:v>
      </x:c>
      <x:c r="J14" s="162" t="n">
        <x:f>J13*$B$7*$B$10</x:f>
        <x:v>239145294.49574405</x:v>
      </x:c>
      <x:c r="K14" s="162" t="n">
        <x:f>K13*$B$7*$B$10</x:f>
        <x:v>248711106.27557382</x:v>
      </x:c>
      <x:c r="L14" s="162" t="n">
        <x:f>L13*$B$7*$B$10</x:f>
        <x:v>258659550.5265968</x:v>
      </x:c>
      <x:c r="M14" s="162" t="n">
        <x:f>M13*$B$7*$B$10</x:f>
        <x:v>269005932.5476606</x:v>
      </x:c>
      <x:c r="N14" s="162" t="n">
        <x:f>N13*$B$7*$B$10</x:f>
        <x:v>279766169.8495671</x:v>
      </x:c>
      <x:c r="O14" s="162" t="n">
        <x:f>O13*$B$7*$B$10</x:f>
        <x:v>290956816.6435498</x:v>
      </x:c>
      <x:c r="P14" s="162" t="n">
        <x:f>P13*$B$7*$B$10</x:f>
        <x:v>302595089.3092918</x:v>
      </x:c>
      <x:c r="Q14" s="162" t="n">
        <x:f>Q13*$B$7*$B$10</x:f>
        <x:v>314698892.88166344</x:v>
      </x:c>
      <x:c r="R14" s="162" t="n">
        <x:f>R13*$B$7*$B$10</x:f>
        <x:v>327286848.59693</x:v>
      </x:c>
      <x:c r="S14" s="162" t="n">
        <x:f>S13*$B$7*$B$10</x:f>
        <x:v>340378322.5408072</x:v>
      </x:c>
      <x:c r="T14" s="162" t="n">
        <x:f>T13*$B$7*$B$10</x:f>
        <x:v>353993455.4424395</x:v>
      </x:c>
      <x:c r="U14" s="162" t="n">
        <x:f>U13*$B$7*$B$10</x:f>
        <x:v>368153193.6601371</x:v>
      </x:c>
      <x:c r="V14" s="162" t="n">
        <x:f>V13*$B$7*$B$10</x:f>
        <x:v>382879321.4065426</x:v>
      </x:c>
      <x:c r="W14" s="162" t="n">
        <x:f>W13*$B$7*$B$10</x:f>
        <x:v>398194494.2628043</x:v>
      </x:c>
      <x:c r="X14" s="162" t="n">
        <x:f>X13*$B$7*$B$10</x:f>
        <x:v>414122274.0333165</x:v>
      </x:c>
      <x:c r="Y14" s="162" t="n">
        <x:f>Y13*$B$7*$B$10</x:f>
        <x:v>430687164.99464923</x:v>
      </x:c>
      <x:c r="Z14" s="162" t="n">
        <x:f>Z13*$B$7*$B$10</x:f>
        <x:v>447914651.5944351</x:v>
      </x:c>
      <x:c r="AA14" s="162" t="n">
        <x:f>AA13*$B$7*$B$10</x:f>
        <x:v>465831237.6582126</x:v>
      </x:c>
      <x:c r="AB14" s="162" t="n">
        <x:f>AB13*$B$7*$B$10</x:f>
        <x:v>484464487.1645412</x:v>
      </x:c>
      <x:c r="AC14" s="162" t="n">
        <x:f>AC13*$B$7*$B$10</x:f>
        <x:v>503843066.65112275</x:v>
      </x:c>
      <x:c r="AD14" s="162" t="n">
        <x:f>AD13*$B$7*$B$10</x:f>
        <x:v>523996789.31716764</x:v>
      </x:c>
      <x:c r="AE14" s="162" t="n">
        <x:f>AE13*$B$7*$B$10</x:f>
        <x:v>544956660.8898544</x:v>
      </x:c>
      <x:c r="AF14" s="162" t="n">
        <x:f>AF13*$B$7*$B$10</x:f>
        <x:v>566754927.3254485</x:v>
      </x:c>
      <x:c r="AG14" s="162" t="n">
        <x:f>AG13*$B$7*$B$10</x:f>
        <x:v>589425124.4184666</x:v>
      </x:c>
      <x:c r="AH14" s="162" t="n">
        <x:f>AH13*$B$7*$B$10</x:f>
        <x:v>613002129.3952053</x:v>
      </x:c>
      <x:c r="AI14" s="162" t="n">
        <x:f>AI13*$B$7*$B$10</x:f>
        <x:v>637522214.5710136</x:v>
      </x:c>
      <x:c r="AJ14" s="162" t="n">
        <x:f>AJ13*$B$7*$B$10</x:f>
        <x:v>663023103.153854</x:v>
      </x:c>
      <x:c r="AK14" s="162" t="n">
        <x:f>AK13*$B$7*$B$10</x:f>
        <x:v>689544027.2800083</x:v>
      </x:c>
      <x:c r="AL14" s="162" t="n">
        <x:f>AL13*$B$7*$B$10</x:f>
        <x:v>717125788.3712085</x:v>
      </x:c>
      <x:c r="AM14" s="162" t="n">
        <x:f>AM13*$B$7*$B$10</x:f>
        <x:v>745810819.9060571</x:v>
      </x:c>
    </x:row>
    <x:row r="15">
      <x:c r="A15" s="161" t="str">
        <x:v>Microloan originations</x:v>
      </x:c>
      <x:c r="B15" s="146"/>
      <x:c r="C15" s="146"/>
      <x:c r="D15" s="162" t="n">
        <x:f>D13*$B$8*$B$10</x:f>
        <x:v>216000000</x:v>
      </x:c>
      <x:c r="E15" s="162" t="n">
        <x:f>E13*$B$8*$B$10</x:f>
        <x:v>224640000</x:v>
      </x:c>
      <x:c r="F15" s="162" t="n">
        <x:f>F13*$B$8*$B$10</x:f>
        <x:v>233625600</x:v>
      </x:c>
      <x:c r="G15" s="162" t="n">
        <x:f>G13*$B$8*$B$10</x:f>
        <x:v>242970624</x:v>
      </x:c>
      <x:c r="H15" s="162" t="n">
        <x:f>H13*$B$8*$B$10</x:f>
        <x:v>252689448.96000007</x:v>
      </x:c>
      <x:c r="I15" s="162" t="n">
        <x:f>I13*$B$8*$B$10</x:f>
        <x:v>262797026.91840005</x:v>
      </x:c>
      <x:c r="J15" s="162" t="n">
        <x:f>J13*$B$8*$B$10</x:f>
        <x:v>273308907.9951361</x:v>
      </x:c>
      <x:c r="K15" s="162" t="n">
        <x:f>K13*$B$8*$B$10</x:f>
        <x:v>284241264.3149415</x:v>
      </x:c>
      <x:c r="L15" s="162" t="n">
        <x:f>L13*$B$8*$B$10</x:f>
        <x:v>295610914.88753927</x:v>
      </x:c>
      <x:c r="M15" s="162" t="n">
        <x:f>M13*$B$8*$B$10</x:f>
        <x:v>307435351.48304075</x:v>
      </x:c>
      <x:c r="N15" s="162" t="n">
        <x:f>N13*$B$8*$B$10</x:f>
        <x:v>319732765.5423624</x:v>
      </x:c>
      <x:c r="O15" s="162" t="n">
        <x:f>O13*$B$8*$B$10</x:f>
        <x:v>332522076.1640569</x:v>
      </x:c>
      <x:c r="P15" s="162" t="n">
        <x:f>P13*$B$8*$B$10</x:f>
        <x:v>345822959.2106192</x:v>
      </x:c>
      <x:c r="Q15" s="162" t="n">
        <x:f>Q13*$B$8*$B$10</x:f>
        <x:v>359655877.579044</x:v>
      </x:c>
      <x:c r="R15" s="162" t="n">
        <x:f>R13*$B$8*$B$10</x:f>
        <x:v>374042112.6822058</x:v>
      </x:c>
      <x:c r="S15" s="162" t="n">
        <x:f>S13*$B$8*$B$10</x:f>
        <x:v>389003797.18949395</x:v>
      </x:c>
      <x:c r="T15" s="162" t="n">
        <x:f>T13*$B$8*$B$10</x:f>
        <x:v>404563949.07707375</x:v>
      </x:c>
      <x:c r="U15" s="162" t="n">
        <x:f>U13*$B$8*$B$10</x:f>
        <x:v>420746507.0401567</x:v>
      </x:c>
      <x:c r="V15" s="162" t="n">
        <x:f>V13*$B$8*$B$10</x:f>
        <x:v>437576367.32176304</x:v>
      </x:c>
      <x:c r="W15" s="162" t="n">
        <x:f>W13*$B$8*$B$10</x:f>
        <x:v>455079422.0146336</x:v>
      </x:c>
      <x:c r="X15" s="162" t="n">
        <x:f>X13*$B$8*$B$10</x:f>
        <x:v>473282598.89521885</x:v>
      </x:c>
      <x:c r="Y15" s="162" t="n">
        <x:f>Y13*$B$8*$B$10</x:f>
        <x:v>492213902.8510277</x:v>
      </x:c>
      <x:c r="Z15" s="162" t="n">
        <x:f>Z13*$B$8*$B$10</x:f>
        <x:v>511902458.9650688</x:v>
      </x:c>
      <x:c r="AA15" s="162" t="n">
        <x:f>AA13*$B$8*$B$10</x:f>
        <x:v>532378557.32367164</x:v>
      </x:c>
      <x:c r="AB15" s="162" t="n">
        <x:f>AB13*$B$8*$B$10</x:f>
        <x:v>553673699.6166185</x:v>
      </x:c>
      <x:c r="AC15" s="162" t="n">
        <x:f>AC13*$B$8*$B$10</x:f>
        <x:v>575820647.6012832</x:v>
      </x:c>
      <x:c r="AD15" s="162" t="n">
        <x:f>AD13*$B$8*$B$10</x:f>
        <x:v>598853473.5053346</x:v>
      </x:c>
      <x:c r="AE15" s="162" t="n">
        <x:f>AE13*$B$8*$B$10</x:f>
        <x:v>622807612.4455479</x:v>
      </x:c>
      <x:c r="AF15" s="162" t="n">
        <x:f>AF13*$B$8*$B$10</x:f>
        <x:v>647719916.9433699</x:v>
      </x:c>
      <x:c r="AG15" s="162" t="n">
        <x:f>AG13*$B$8*$B$10</x:f>
        <x:v>673628713.6211047</x:v>
      </x:c>
      <x:c r="AH15" s="162" t="n">
        <x:f>AH13*$B$8*$B$10</x:f>
        <x:v>700573862.165949</x:v>
      </x:c>
      <x:c r="AI15" s="162" t="n">
        <x:f>AI13*$B$8*$B$10</x:f>
        <x:v>728596816.652587</x:v>
      </x:c>
      <x:c r="AJ15" s="162" t="n">
        <x:f>AJ13*$B$8*$B$10</x:f>
        <x:v>757740689.3186904</x:v>
      </x:c>
      <x:c r="AK15" s="162" t="n">
        <x:f>AK13*$B$8*$B$10</x:f>
        <x:v>788050316.8914382</x:v>
      </x:c>
      <x:c r="AL15" s="162" t="n">
        <x:f>AL13*$B$8*$B$10</x:f>
        <x:v>819572329.5670956</x:v>
      </x:c>
      <x:c r="AM15" s="162" t="n">
        <x:f>AM13*$B$8*$B$10</x:f>
        <x:v>852355222.7497796</x:v>
      </x:c>
    </x:row>
    <x:row r="16">
      <x:c r="A16" s="161" t="str">
        <x:v>Revolver originations</x:v>
      </x:c>
      <x:c r="B16" s="146"/>
      <x:c r="C16" s="146"/>
      <x:c r="D16" s="162" t="n">
        <x:f>D13*$B$9*$B$10</x:f>
        <x:v>135000000</x:v>
      </x:c>
      <x:c r="E16" s="162" t="n">
        <x:f>E13*$B$9*$B$10</x:f>
        <x:v>140400000</x:v>
      </x:c>
      <x:c r="F16" s="162" t="n">
        <x:f>F13*$B$9*$B$10</x:f>
        <x:v>146016000</x:v>
      </x:c>
      <x:c r="G16" s="162" t="n">
        <x:f>G13*$B$9*$B$10</x:f>
        <x:v>151856640</x:v>
      </x:c>
      <x:c r="H16" s="162" t="n">
        <x:f>H13*$B$9*$B$10</x:f>
        <x:v>157930905.60000002</x:v>
      </x:c>
      <x:c r="I16" s="162" t="n">
        <x:f>I13*$B$9*$B$10</x:f>
        <x:v>164248141.82400003</x:v>
      </x:c>
      <x:c r="J16" s="162" t="n">
        <x:f>J13*$B$9*$B$10</x:f>
        <x:v>170818067.49696</x:v>
      </x:c>
      <x:c r="K16" s="162" t="n">
        <x:f>K13*$B$9*$B$10</x:f>
        <x:v>177650790.19683844</x:v>
      </x:c>
      <x:c r="L16" s="162" t="n">
        <x:f>L13*$B$9*$B$10</x:f>
        <x:v>184756821.80471203</x:v>
      </x:c>
      <x:c r="M16" s="162" t="n">
        <x:f>M13*$B$9*$B$10</x:f>
        <x:v>192147094.67690048</x:v>
      </x:c>
      <x:c r="N16" s="162" t="n">
        <x:f>N13*$B$9*$B$10</x:f>
        <x:v>199832978.4639765</x:v>
      </x:c>
      <x:c r="O16" s="162" t="n">
        <x:f>O13*$B$9*$B$10</x:f>
        <x:v>207826297.60253558</x:v>
      </x:c>
      <x:c r="P16" s="162" t="n">
        <x:f>P13*$B$9*$B$10</x:f>
        <x:v>216139349.50663698</x:v>
      </x:c>
      <x:c r="Q16" s="162" t="n">
        <x:f>Q13*$B$9*$B$10</x:f>
        <x:v>224784923.48690248</x:v>
      </x:c>
      <x:c r="R16" s="162" t="n">
        <x:f>R13*$B$9*$B$10</x:f>
        <x:v>233776320.4263786</x:v>
      </x:c>
      <x:c r="S16" s="162" t="n">
        <x:f>S13*$B$9*$B$10</x:f>
        <x:v>243127373.2434337</x:v>
      </x:c>
      <x:c r="T16" s="162" t="n">
        <x:f>T13*$B$9*$B$10</x:f>
        <x:v>252852468.1731711</x:v>
      </x:c>
      <x:c r="U16" s="162" t="n">
        <x:f>U13*$B$9*$B$10</x:f>
        <x:v>262966566.90009794</x:v>
      </x:c>
      <x:c r="V16" s="162" t="n">
        <x:f>V13*$B$9*$B$10</x:f>
        <x:v>273485229.5761019</x:v>
      </x:c>
      <x:c r="W16" s="162" t="n">
        <x:f>W13*$B$9*$B$10</x:f>
        <x:v>284424638.759146</x:v>
      </x:c>
      <x:c r="X16" s="162" t="n">
        <x:f>X13*$B$9*$B$10</x:f>
        <x:v>295801624.3095118</x:v>
      </x:c>
      <x:c r="Y16" s="162" t="n">
        <x:f>Y13*$B$9*$B$10</x:f>
        <x:v>307633689.2818923</x:v>
      </x:c>
      <x:c r="Z16" s="162" t="n">
        <x:f>Z13*$B$9*$B$10</x:f>
        <x:v>319939036.85316795</x:v>
      </x:c>
      <x:c r="AA16" s="162" t="n">
        <x:f>AA13*$B$9*$B$10</x:f>
        <x:v>332736598.32729477</x:v>
      </x:c>
      <x:c r="AB16" s="162" t="n">
        <x:f>AB13*$B$9*$B$10</x:f>
        <x:v>346046062.2603866</x:v>
      </x:c>
      <x:c r="AC16" s="162" t="n">
        <x:f>AC13*$B$9*$B$10</x:f>
        <x:v>359887904.750802</x:v>
      </x:c>
      <x:c r="AD16" s="162" t="n">
        <x:f>AD13*$B$9*$B$10</x:f>
        <x:v>374283420.9408341</x:v>
      </x:c>
      <x:c r="AE16" s="162" t="n">
        <x:f>AE13*$B$9*$B$10</x:f>
        <x:v>389254757.7784675</x:v>
      </x:c>
      <x:c r="AF16" s="162" t="n">
        <x:f>AF13*$B$9*$B$10</x:f>
        <x:v>404824948.08960617</x:v>
      </x:c>
      <x:c r="AG16" s="162" t="n">
        <x:f>AG13*$B$9*$B$10</x:f>
        <x:v>421017946.01319045</x:v>
      </x:c>
      <x:c r="AH16" s="162" t="n">
        <x:f>AH13*$B$9*$B$10</x:f>
        <x:v>437858663.8537181</x:v>
      </x:c>
      <x:c r="AI16" s="162" t="n">
        <x:f>AI13*$B$9*$B$10</x:f>
        <x:v>455373010.40786684</x:v>
      </x:c>
      <x:c r="AJ16" s="162" t="n">
        <x:f>AJ13*$B$9*$B$10</x:f>
        <x:v>473587930.8241815</x:v>
      </x:c>
      <x:c r="AK16" s="162" t="n">
        <x:f>AK13*$B$9*$B$10</x:f>
        <x:v>492531448.0571489</x:v>
      </x:c>
      <x:c r="AL16" s="162" t="n">
        <x:f>AL13*$B$9*$B$10</x:f>
        <x:v>512232705.9794347</x:v>
      </x:c>
      <x:c r="AM16" s="162" t="n">
        <x:f>AM13*$B$9*$B$10</x:f>
        <x:v>532722014.2186122</x:v>
      </x:c>
    </x:row>
    <x:row r="17">
      <x:c r="A17" s="161" t="str">
        <x:v>Total originations</x:v>
      </x:c>
      <x:c r="B17" s="146"/>
      <x:c r="C17" s="146"/>
      <x:c r="D17" s="162" t="n">
        <x:f>SUM(D14:D16)</x:f>
        <x:v>540000000</x:v>
      </x:c>
      <x:c r="E17" s="162" t="n">
        <x:f>SUM(E14:E16)</x:f>
        <x:v>561600000</x:v>
      </x:c>
      <x:c r="F17" s="162" t="n">
        <x:f>SUM(F14:F16)</x:f>
        <x:v>584064000</x:v>
      </x:c>
      <x:c r="G17" s="162" t="n">
        <x:f>SUM(G14:G16)</x:f>
        <x:v>607426560</x:v>
      </x:c>
      <x:c r="H17" s="162" t="n">
        <x:f>SUM(H14:H16)</x:f>
        <x:v>631723622.4000001</x:v>
      </x:c>
      <x:c r="I17" s="162" t="n">
        <x:f>SUM(I14:I16)</x:f>
        <x:v>656992567.296</x:v>
      </x:c>
      <x:c r="J17" s="162" t="n">
        <x:f>SUM(J14:J16)</x:f>
        <x:v>683272269.9878402</x:v>
      </x:c>
      <x:c r="K17" s="162" t="n">
        <x:f>SUM(K14:K16)</x:f>
        <x:v>710603160.7873538</x:v>
      </x:c>
      <x:c r="L17" s="162" t="n">
        <x:f>SUM(L14:L16)</x:f>
        <x:v>739027287.2188481</x:v>
      </x:c>
      <x:c r="M17" s="162" t="n">
        <x:f>SUM(M14:M16)</x:f>
        <x:v>768588378.7076019</x:v>
      </x:c>
      <x:c r="N17" s="162" t="n">
        <x:f>SUM(N14:N16)</x:f>
        <x:v>799331913.855906</x:v>
      </x:c>
      <x:c r="O17" s="162" t="n">
        <x:f>SUM(O14:O16)</x:f>
        <x:v>831305190.4101423</x:v>
      </x:c>
      <x:c r="P17" s="162" t="n">
        <x:f>SUM(P14:P16)</x:f>
        <x:v>864557398.026548</x:v>
      </x:c>
      <x:c r="Q17" s="162" t="n">
        <x:f>SUM(Q14:Q16)</x:f>
        <x:v>899139693.9476099</x:v>
      </x:c>
      <x:c r="R17" s="162" t="n">
        <x:f>SUM(R14:R16)</x:f>
        <x:v>935105281.7055144</x:v>
      </x:c>
      <x:c r="S17" s="162" t="n">
        <x:f>SUM(S14:S16)</x:f>
        <x:v>972509492.9737349</x:v>
      </x:c>
      <x:c r="T17" s="162" t="n">
        <x:f>SUM(T14:T16)</x:f>
        <x:v>1011409872.6926844</x:v>
      </x:c>
      <x:c r="U17" s="162" t="n">
        <x:f>SUM(U14:U16)</x:f>
        <x:v>1051866267.6003917</x:v>
      </x:c>
      <x:c r="V17" s="162" t="n">
        <x:f>SUM(V14:V16)</x:f>
        <x:v>1093940918.3044076</x:v>
      </x:c>
      <x:c r="W17" s="162" t="n">
        <x:f>SUM(W14:W16)</x:f>
        <x:v>1137698555.036584</x:v>
      </x:c>
      <x:c r="X17" s="162" t="n">
        <x:f>SUM(X14:X16)</x:f>
        <x:v>1183206497.2380471</x:v>
      </x:c>
      <x:c r="Y17" s="162" t="n">
        <x:f>SUM(Y14:Y16)</x:f>
        <x:v>1230534757.1275692</x:v>
      </x:c>
      <x:c r="Z17" s="162" t="n">
        <x:f>SUM(Z14:Z16)</x:f>
        <x:v>1279756147.4126718</x:v>
      </x:c>
      <x:c r="AA17" s="162" t="n">
        <x:f>SUM(AA14:AA16)</x:f>
        <x:v>1330946393.309179</x:v>
      </x:c>
      <x:c r="AB17" s="162" t="n">
        <x:f>SUM(AB14:AB16)</x:f>
        <x:v>1384184249.0415463</x:v>
      </x:c>
      <x:c r="AC17" s="162" t="n">
        <x:f>SUM(AC14:AC16)</x:f>
        <x:v>1439551619.003208</x:v>
      </x:c>
      <x:c r="AD17" s="162" t="n">
        <x:f>SUM(AD14:AD16)</x:f>
        <x:v>1497133683.7633362</x:v>
      </x:c>
      <x:c r="AE17" s="162" t="n">
        <x:f>SUM(AE14:AE16)</x:f>
        <x:v>1557019031.11387</x:v>
      </x:c>
      <x:c r="AF17" s="162" t="n">
        <x:f>SUM(AF14:AF16)</x:f>
        <x:v>1619299792.3584247</x:v>
      </x:c>
      <x:c r="AG17" s="162" t="n">
        <x:f>SUM(AG14:AG16)</x:f>
        <x:v>1684071784.0527618</x:v>
      </x:c>
      <x:c r="AH17" s="162" t="n">
        <x:f>SUM(AH14:AH16)</x:f>
        <x:v>1751434655.4148724</x:v>
      </x:c>
      <x:c r="AI17" s="162" t="n">
        <x:f>SUM(AI14:AI16)</x:f>
        <x:v>1821492041.6314673</x:v>
      </x:c>
      <x:c r="AJ17" s="162" t="n">
        <x:f>SUM(AJ14:AJ16)</x:f>
        <x:v>1894351723.296726</x:v>
      </x:c>
      <x:c r="AK17" s="162" t="n">
        <x:f>SUM(AK14:AK16)</x:f>
        <x:v>1970125792.2285955</x:v>
      </x:c>
      <x:c r="AL17" s="162" t="n">
        <x:f>SUM(AL14:AL16)</x:f>
        <x:v>2048930823.917739</x:v>
      </x:c>
      <x:c r="AM17" s="162" t="n">
        <x:f>SUM(AM14:AM16)</x:f>
        <x:v>2130888056.8744488</x:v>
      </x:c>
    </x:row>
    <x:row r="18">
      <x:c r="A18" s="161" t="str">
        <x:v>SPV purchased originations</x:v>
      </x:c>
      <x:c r="B18" s="146"/>
      <x:c r="C18" s="146"/>
      <x:c r="D18" s="162" t="n">
        <x:f>D17*$B$11</x:f>
        <x:v>459000000</x:v>
      </x:c>
      <x:c r="E18" s="162" t="n">
        <x:f>E17*$B$11</x:f>
        <x:v>477360000</x:v>
      </x:c>
      <x:c r="F18" s="162" t="n">
        <x:f>F17*$B$11</x:f>
        <x:v>496454400</x:v>
      </x:c>
      <x:c r="G18" s="162" t="n">
        <x:f>G17*$B$11</x:f>
        <x:v>516312576</x:v>
      </x:c>
      <x:c r="H18" s="162" t="n">
        <x:f>H17*$B$11</x:f>
        <x:v>536965079.0400001</x:v>
      </x:c>
      <x:c r="I18" s="162" t="n">
        <x:f>I17*$B$11</x:f>
        <x:v>558443682.2016</x:v>
      </x:c>
      <x:c r="J18" s="162" t="n">
        <x:f>J17*$B$11</x:f>
        <x:v>580781429.4896641</x:v>
      </x:c>
      <x:c r="K18" s="162" t="n">
        <x:f>K17*$B$11</x:f>
        <x:v>604012686.6692507</x:v>
      </x:c>
      <x:c r="L18" s="162" t="n">
        <x:f>L17*$B$11</x:f>
        <x:v>628173194.1360209</x:v>
      </x:c>
      <x:c r="M18" s="162" t="n">
        <x:f>M17*$B$11</x:f>
        <x:v>653300121.9014616</x:v>
      </x:c>
      <x:c r="N18" s="162" t="n">
        <x:f>N17*$B$11</x:f>
        <x:v>679432126.7775201</x:v>
      </x:c>
      <x:c r="O18" s="162" t="n">
        <x:f>O17*$B$11</x:f>
        <x:v>706609411.8486209</x:v>
      </x:c>
      <x:c r="P18" s="162" t="n">
        <x:f>P17*$B$11</x:f>
        <x:v>734873788.3225658</x:v>
      </x:c>
      <x:c r="Q18" s="162" t="n">
        <x:f>Q17*$B$11</x:f>
        <x:v>764268739.8554684</x:v>
      </x:c>
      <x:c r="R18" s="162" t="n">
        <x:f>R17*$B$11</x:f>
        <x:v>794839489.4496872</x:v>
      </x:c>
      <x:c r="S18" s="162" t="n">
        <x:f>S17*$B$11</x:f>
        <x:v>826633069.0276746</x:v>
      </x:c>
      <x:c r="T18" s="162" t="n">
        <x:f>T17*$B$11</x:f>
        <x:v>859698391.7887818</x:v>
      </x:c>
      <x:c r="U18" s="162" t="n">
        <x:f>U17*$B$11</x:f>
        <x:v>894086327.460333</x:v>
      </x:c>
      <x:c r="V18" s="162" t="n">
        <x:f>V17*$B$11</x:f>
        <x:v>929849780.5587465</x:v>
      </x:c>
      <x:c r="W18" s="162" t="n">
        <x:f>W17*$B$11</x:f>
        <x:v>967043771.7810963</x:v>
      </x:c>
      <x:c r="X18" s="162" t="n">
        <x:f>X17*$B$11</x:f>
        <x:v>1005725522.65234</x:v>
      </x:c>
      <x:c r="Y18" s="162" t="n">
        <x:f>Y17*$B$11</x:f>
        <x:v>1045954543.5584338</x:v>
      </x:c>
      <x:c r="Z18" s="162" t="n">
        <x:f>Z17*$B$11</x:f>
        <x:v>1087792725.300771</x:v>
      </x:c>
      <x:c r="AA18" s="162" t="n">
        <x:f>AA17*$B$11</x:f>
        <x:v>1131304434.312802</x:v>
      </x:c>
      <x:c r="AB18" s="162" t="n">
        <x:f>AB17*$B$11</x:f>
        <x:v>1176556611.6853144</x:v>
      </x:c>
      <x:c r="AC18" s="162" t="n">
        <x:f>AC17*$B$11</x:f>
        <x:v>1223618876.1527267</x:v>
      </x:c>
      <x:c r="AD18" s="162" t="n">
        <x:f>AD17*$B$11</x:f>
        <x:v>1272563631.1988356</x:v>
      </x:c>
      <x:c r="AE18" s="162" t="n">
        <x:f>AE17*$B$11</x:f>
        <x:v>1323466176.4467895</x:v>
      </x:c>
      <x:c r="AF18" s="162" t="n">
        <x:f>AF17*$B$11</x:f>
        <x:v>1376404823.5046608</x:v>
      </x:c>
      <x:c r="AG18" s="162" t="n">
        <x:f>AG17*$B$11</x:f>
        <x:v>1431461016.4448476</x:v>
      </x:c>
      <x:c r="AH18" s="162" t="n">
        <x:f>AH17*$B$11</x:f>
        <x:v>1488719457.1026416</x:v>
      </x:c>
      <x:c r="AI18" s="162" t="n">
        <x:f>AI17*$B$11</x:f>
        <x:v>1548268235.3867471</x:v>
      </x:c>
      <x:c r="AJ18" s="162" t="n">
        <x:f>AJ17*$B$11</x:f>
        <x:v>1610198964.802217</x:v>
      </x:c>
      <x:c r="AK18" s="162" t="n">
        <x:f>AK17*$B$11</x:f>
        <x:v>1674606923.3943062</x:v>
      </x:c>
      <x:c r="AL18" s="162" t="n">
        <x:f>AL17*$B$11</x:f>
        <x:v>1741591200.3300781</x:v>
      </x:c>
      <x:c r="AM18" s="162" t="n">
        <x:f>AM17*$B$11</x:f>
        <x:v>1811254848.3432815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1" ht="28" customHeight="1">
      <x:c r="A1" s="144" t="str">
        <x:v>IPF Cohort Schedule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  <x:c r="AN1" s="146"/>
    </x:row>
    <x:row r="2">
      <x:c r="A2" s="145" t="str">
        <x:v>Monthly cohort cash mechanics; base case inputs are illustrative where not term-sheet backed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  <x:c r="AN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  <x:c r="AN3" s="146"/>
    </x:row>
    <x:row r="4">
      <x:c r="A4" s="150" t="str">
        <x:v>Metric</x:v>
      </x:c>
      <x:c r="B4" s="150" t="str">
        <x:v>Base rate</x:v>
      </x:c>
      <x:c r="C4" s="150" t="str">
        <x:v>Unit</x:v>
      </x:c>
      <x:c r="D4" s="150" t="str">
        <x:v>Scenario rate</x:v>
      </x:c>
      <x:c r="E4" s="150" t="str">
        <x:v>M01</x:v>
      </x:c>
      <x:c r="F4" s="150" t="str">
        <x:v>M02</x:v>
      </x:c>
      <x:c r="G4" s="150" t="str">
        <x:v>M03</x:v>
      </x:c>
      <x:c r="H4" s="150" t="str">
        <x:v>M04</x:v>
      </x:c>
      <x:c r="I4" s="150" t="str">
        <x:v>M05</x:v>
      </x:c>
      <x:c r="J4" s="150" t="str">
        <x:v>M06</x:v>
      </x:c>
      <x:c r="K4" s="150" t="str">
        <x:v>M07</x:v>
      </x:c>
      <x:c r="L4" s="150" t="str">
        <x:v>M08</x:v>
      </x:c>
      <x:c r="M4" s="150" t="str">
        <x:v>M09</x:v>
      </x:c>
      <x:c r="N4" s="150" t="str">
        <x:v>M10</x:v>
      </x:c>
      <x:c r="O4" s="150" t="str">
        <x:v>M11</x:v>
      </x:c>
      <x:c r="P4" s="150" t="str">
        <x:v>M12</x:v>
      </x:c>
      <x:c r="Q4" s="150" t="str">
        <x:v>M13</x:v>
      </x:c>
      <x:c r="R4" s="150" t="str">
        <x:v>M14</x:v>
      </x:c>
      <x:c r="S4" s="150" t="str">
        <x:v>M15</x:v>
      </x:c>
      <x:c r="T4" s="150" t="str">
        <x:v>M16</x:v>
      </x:c>
      <x:c r="U4" s="150" t="str">
        <x:v>M17</x:v>
      </x:c>
      <x:c r="V4" s="150" t="str">
        <x:v>M18</x:v>
      </x:c>
      <x:c r="W4" s="150" t="str">
        <x:v>M19</x:v>
      </x:c>
      <x:c r="X4" s="150" t="str">
        <x:v>M20</x:v>
      </x:c>
      <x:c r="Y4" s="150" t="str">
        <x:v>M21</x:v>
      </x:c>
      <x:c r="Z4" s="150" t="str">
        <x:v>M22</x:v>
      </x:c>
      <x:c r="AA4" s="150" t="str">
        <x:v>M23</x:v>
      </x:c>
      <x:c r="AB4" s="150" t="str">
        <x:v>M24</x:v>
      </x:c>
      <x:c r="AC4" s="150" t="str">
        <x:v>M25</x:v>
      </x:c>
      <x:c r="AD4" s="150" t="str">
        <x:v>M26</x:v>
      </x:c>
      <x:c r="AE4" s="150" t="str">
        <x:v>M27</x:v>
      </x:c>
      <x:c r="AF4" s="150" t="str">
        <x:v>M28</x:v>
      </x:c>
      <x:c r="AG4" s="150" t="str">
        <x:v>M29</x:v>
      </x:c>
      <x:c r="AH4" s="150" t="str">
        <x:v>M30</x:v>
      </x:c>
      <x:c r="AI4" s="150" t="str">
        <x:v>M31</x:v>
      </x:c>
      <x:c r="AJ4" s="150" t="str">
        <x:v>M32</x:v>
      </x:c>
      <x:c r="AK4" s="150" t="str">
        <x:v>M33</x:v>
      </x:c>
      <x:c r="AL4" s="150" t="str">
        <x:v>M34</x:v>
      </x:c>
      <x:c r="AM4" s="150" t="str">
        <x:v>M35</x:v>
      </x:c>
      <x:c r="AN4" s="146" t="str">
        <x:v>M36</x:v>
      </x:c>
    </x:row>
    <x:row r="5">
      <x:c r="A5" s="161" t="str">
        <x:v>Originations</x:v>
      </x:c>
      <x:c r="B5" s="146" t="n">
        <x:f>'Origination_Drivers'!D14</x:f>
        <x:v>189000000</x:v>
      </x:c>
      <x:c r="C5" s="146" t="str">
        <x:v>KES</x:v>
      </x:c>
      <x:c r="D5" s="146"/>
      <x:c r="E5" s="162" t="n">
        <x:f>B5</x:f>
        <x:v>189000000</x:v>
      </x:c>
      <x:c r="F5" s="162" t="str">
        <x:f>C5</x:f>
        <x:v>KES</x:v>
      </x:c>
      <x:c r="G5" s="162" t="n">
        <x:f>D5</x:f>
        <x:v>0</x:v>
      </x:c>
      <x:c r="H5" s="162" t="n">
        <x:f>E5</x:f>
        <x:v>189000000</x:v>
      </x:c>
      <x:c r="I5" s="162" t="str">
        <x:f>F5</x:f>
        <x:v>KES</x:v>
      </x:c>
      <x:c r="J5" s="162" t="n">
        <x:f>G5</x:f>
        <x:v>0</x:v>
      </x:c>
      <x:c r="K5" s="162" t="n">
        <x:f>H5</x:f>
        <x:v>189000000</x:v>
      </x:c>
      <x:c r="L5" s="162" t="str">
        <x:f>I5</x:f>
        <x:v>KES</x:v>
      </x:c>
      <x:c r="M5" s="162" t="n">
        <x:f>J5</x:f>
        <x:v>0</x:v>
      </x:c>
      <x:c r="N5" s="162" t="n">
        <x:f>K5</x:f>
        <x:v>189000000</x:v>
      </x:c>
      <x:c r="O5" s="162" t="str">
        <x:f>L5</x:f>
        <x:v>KES</x:v>
      </x:c>
      <x:c r="P5" s="162" t="n">
        <x:f>M5</x:f>
        <x:v>0</x:v>
      </x:c>
      <x:c r="Q5" s="162" t="n">
        <x:f>N5</x:f>
        <x:v>189000000</x:v>
      </x:c>
      <x:c r="R5" s="162" t="str">
        <x:f>O5</x:f>
        <x:v>KES</x:v>
      </x:c>
      <x:c r="S5" s="162" t="n">
        <x:f>P5</x:f>
        <x:v>0</x:v>
      </x:c>
      <x:c r="T5" s="162" t="n">
        <x:f>Q5</x:f>
        <x:v>189000000</x:v>
      </x:c>
      <x:c r="U5" s="162" t="str">
        <x:f>R5</x:f>
        <x:v>KES</x:v>
      </x:c>
      <x:c r="V5" s="162" t="n">
        <x:f>S5</x:f>
        <x:v>0</x:v>
      </x:c>
      <x:c r="W5" s="162" t="n">
        <x:f>T5</x:f>
        <x:v>189000000</x:v>
      </x:c>
      <x:c r="X5" s="162" t="str">
        <x:f>U5</x:f>
        <x:v>KES</x:v>
      </x:c>
      <x:c r="Y5" s="162" t="n">
        <x:f>V5</x:f>
        <x:v>0</x:v>
      </x:c>
      <x:c r="Z5" s="162" t="n">
        <x:f>W5</x:f>
        <x:v>189000000</x:v>
      </x:c>
      <x:c r="AA5" s="162" t="str">
        <x:f>X5</x:f>
        <x:v>KES</x:v>
      </x:c>
      <x:c r="AB5" s="162" t="n">
        <x:f>Y5</x:f>
        <x:v>0</x:v>
      </x:c>
      <x:c r="AC5" s="162" t="n">
        <x:f>Z5</x:f>
        <x:v>189000000</x:v>
      </x:c>
      <x:c r="AD5" s="162" t="str">
        <x:f>AA5</x:f>
        <x:v>KES</x:v>
      </x:c>
      <x:c r="AE5" s="162" t="n">
        <x:f>AB5</x:f>
        <x:v>0</x:v>
      </x:c>
      <x:c r="AF5" s="162" t="n">
        <x:f>AC5</x:f>
        <x:v>189000000</x:v>
      </x:c>
      <x:c r="AG5" s="162" t="str">
        <x:f>AD5</x:f>
        <x:v>KES</x:v>
      </x:c>
      <x:c r="AH5" s="162" t="n">
        <x:f>AE5</x:f>
        <x:v>0</x:v>
      </x:c>
      <x:c r="AI5" s="162" t="n">
        <x:f>AF5</x:f>
        <x:v>189000000</x:v>
      </x:c>
      <x:c r="AJ5" s="162" t="str">
        <x:f>AG5</x:f>
        <x:v>KES</x:v>
      </x:c>
      <x:c r="AK5" s="162" t="n">
        <x:f>AH5</x:f>
        <x:v>0</x:v>
      </x:c>
      <x:c r="AL5" s="162" t="n">
        <x:f>AI5</x:f>
        <x:v>189000000</x:v>
      </x:c>
      <x:c r="AM5" s="162" t="str">
        <x:f>AJ5</x:f>
        <x:v>KES</x:v>
      </x:c>
      <x:c r="AN5" s="162" t="n">
        <x:f>AK5</x:f>
        <x:v>0</x:v>
      </x:c>
    </x:row>
    <x:row r="6">
      <x:c r="A6" s="161" t="str">
        <x:v>Opening balance</x:v>
      </x:c>
      <x:c r="B6" s="146" t="n">
        <x:v>0</x:v>
      </x:c>
      <x:c r="C6" s="146" t="str">
        <x:v>KES</x:v>
      </x:c>
      <x:c r="D6" s="146"/>
      <x:c r="E6" s="162" t="n">
        <x:f>B6</x:f>
        <x:v>0</x:v>
      </x:c>
      <x:c r="F6" s="162" t="str">
        <x:f>C6</x:f>
        <x:v>KES</x:v>
      </x:c>
      <x:c r="G6" s="162" t="n">
        <x:f>D6</x:f>
        <x:v>0</x:v>
      </x:c>
      <x:c r="H6" s="162" t="n">
        <x:f>E6</x:f>
        <x:v>0</x:v>
      </x:c>
      <x:c r="I6" s="162" t="str">
        <x:f>F6</x:f>
        <x:v>KES</x:v>
      </x:c>
      <x:c r="J6" s="162" t="n">
        <x:f>G6</x:f>
        <x:v>0</x:v>
      </x:c>
      <x:c r="K6" s="162" t="n">
        <x:f>H6</x:f>
        <x:v>0</x:v>
      </x:c>
      <x:c r="L6" s="162" t="str">
        <x:f>I6</x:f>
        <x:v>KES</x:v>
      </x:c>
      <x:c r="M6" s="162" t="n">
        <x:f>J6</x:f>
        <x:v>0</x:v>
      </x:c>
      <x:c r="N6" s="162" t="n">
        <x:f>K6</x:f>
        <x:v>0</x:v>
      </x:c>
      <x:c r="O6" s="162" t="str">
        <x:f>L6</x:f>
        <x:v>KES</x:v>
      </x:c>
      <x:c r="P6" s="162" t="n">
        <x:f>M6</x:f>
        <x:v>0</x:v>
      </x:c>
      <x:c r="Q6" s="162" t="n">
        <x:f>N6</x:f>
        <x:v>0</x:v>
      </x:c>
      <x:c r="R6" s="162" t="str">
        <x:f>O6</x:f>
        <x:v>KES</x:v>
      </x:c>
      <x:c r="S6" s="162" t="n">
        <x:f>P6</x:f>
        <x:v>0</x:v>
      </x:c>
      <x:c r="T6" s="162" t="n">
        <x:f>Q6</x:f>
        <x:v>0</x:v>
      </x:c>
      <x:c r="U6" s="162" t="str">
        <x:f>R6</x:f>
        <x:v>KES</x:v>
      </x:c>
      <x:c r="V6" s="162" t="n">
        <x:f>S6</x:f>
        <x:v>0</x:v>
      </x:c>
      <x:c r="W6" s="162" t="n">
        <x:f>T6</x:f>
        <x:v>0</x:v>
      </x:c>
      <x:c r="X6" s="162" t="str">
        <x:f>U6</x:f>
        <x:v>KES</x:v>
      </x:c>
      <x:c r="Y6" s="162" t="n">
        <x:f>V6</x:f>
        <x:v>0</x:v>
      </x:c>
      <x:c r="Z6" s="162" t="n">
        <x:f>W6</x:f>
        <x:v>0</x:v>
      </x:c>
      <x:c r="AA6" s="162" t="str">
        <x:f>X6</x:f>
        <x:v>KES</x:v>
      </x:c>
      <x:c r="AB6" s="162" t="n">
        <x:f>Y6</x:f>
        <x:v>0</x:v>
      </x:c>
      <x:c r="AC6" s="162" t="n">
        <x:f>Z6</x:f>
        <x:v>0</x:v>
      </x:c>
      <x:c r="AD6" s="162" t="str">
        <x:f>AA6</x:f>
        <x:v>KES</x:v>
      </x:c>
      <x:c r="AE6" s="162" t="n">
        <x:f>AB6</x:f>
        <x:v>0</x:v>
      </x:c>
      <x:c r="AF6" s="162" t="n">
        <x:f>AC6</x:f>
        <x:v>0</x:v>
      </x:c>
      <x:c r="AG6" s="162" t="str">
        <x:f>AD6</x:f>
        <x:v>KES</x:v>
      </x:c>
      <x:c r="AH6" s="162" t="n">
        <x:f>AE6</x:f>
        <x:v>0</x:v>
      </x:c>
      <x:c r="AI6" s="162" t="n">
        <x:f>AF6</x:f>
        <x:v>0</x:v>
      </x:c>
      <x:c r="AJ6" s="162" t="str">
        <x:f>AG6</x:f>
        <x:v>KES</x:v>
      </x:c>
      <x:c r="AK6" s="162" t="n">
        <x:f>AH6</x:f>
        <x:v>0</x:v>
      </x:c>
      <x:c r="AL6" s="162" t="n">
        <x:f>AI6</x:f>
        <x:v>0</x:v>
      </x:c>
      <x:c r="AM6" s="162" t="str">
        <x:f>AJ6</x:f>
        <x:v>KES</x:v>
      </x:c>
      <x:c r="AN6" s="162" t="n">
        <x:f>AK6</x:f>
        <x:v>0</x:v>
      </x:c>
    </x:row>
    <x:row r="7">
      <x:c r="A7" s="161" t="str">
        <x:v>Scheduled collections</x:v>
      </x:c>
      <x:c r="B7" s="146" t="n">
        <x:v>0.2</x:v>
      </x:c>
      <x:c r="C7" s="146" t="str">
        <x:v>share</x:v>
      </x:c>
      <x:c r="D7" s="146"/>
      <x:c r="E7" s="162" t="n">
        <x:f>B7</x:f>
        <x:v>0.2</x:v>
      </x:c>
      <x:c r="F7" s="162" t="str">
        <x:f>C7</x:f>
        <x:v>share</x:v>
      </x:c>
      <x:c r="G7" s="162" t="n">
        <x:f>D7</x:f>
        <x:v>0</x:v>
      </x:c>
      <x:c r="H7" s="162" t="n">
        <x:f>E7</x:f>
        <x:v>0.2</x:v>
      </x:c>
      <x:c r="I7" s="162" t="str">
        <x:f>F7</x:f>
        <x:v>share</x:v>
      </x:c>
      <x:c r="J7" s="162" t="n">
        <x:f>G7</x:f>
        <x:v>0</x:v>
      </x:c>
      <x:c r="K7" s="162" t="n">
        <x:f>H7</x:f>
        <x:v>0.2</x:v>
      </x:c>
      <x:c r="L7" s="162" t="str">
        <x:f>I7</x:f>
        <x:v>share</x:v>
      </x:c>
      <x:c r="M7" s="162" t="n">
        <x:f>J7</x:f>
        <x:v>0</x:v>
      </x:c>
      <x:c r="N7" s="162" t="n">
        <x:f>K7</x:f>
        <x:v>0.2</x:v>
      </x:c>
      <x:c r="O7" s="162" t="str">
        <x:f>L7</x:f>
        <x:v>share</x:v>
      </x:c>
      <x:c r="P7" s="162" t="n">
        <x:f>M7</x:f>
        <x:v>0</x:v>
      </x:c>
      <x:c r="Q7" s="162" t="n">
        <x:f>N7</x:f>
        <x:v>0.2</x:v>
      </x:c>
      <x:c r="R7" s="162" t="str">
        <x:f>O7</x:f>
        <x:v>share</x:v>
      </x:c>
      <x:c r="S7" s="162" t="n">
        <x:f>P7</x:f>
        <x:v>0</x:v>
      </x:c>
      <x:c r="T7" s="162" t="n">
        <x:f>Q7</x:f>
        <x:v>0.2</x:v>
      </x:c>
      <x:c r="U7" s="162" t="str">
        <x:f>R7</x:f>
        <x:v>share</x:v>
      </x:c>
      <x:c r="V7" s="162" t="n">
        <x:f>S7</x:f>
        <x:v>0</x:v>
      </x:c>
      <x:c r="W7" s="162" t="n">
        <x:f>T7</x:f>
        <x:v>0.2</x:v>
      </x:c>
      <x:c r="X7" s="162" t="str">
        <x:f>U7</x:f>
        <x:v>share</x:v>
      </x:c>
      <x:c r="Y7" s="162" t="n">
        <x:f>V7</x:f>
        <x:v>0</x:v>
      </x:c>
      <x:c r="Z7" s="162" t="n">
        <x:f>W7</x:f>
        <x:v>0.2</x:v>
      </x:c>
      <x:c r="AA7" s="162" t="str">
        <x:f>X7</x:f>
        <x:v>share</x:v>
      </x:c>
      <x:c r="AB7" s="162" t="n">
        <x:f>Y7</x:f>
        <x:v>0</x:v>
      </x:c>
      <x:c r="AC7" s="162" t="n">
        <x:f>Z7</x:f>
        <x:v>0.2</x:v>
      </x:c>
      <x:c r="AD7" s="162" t="str">
        <x:f>AA7</x:f>
        <x:v>share</x:v>
      </x:c>
      <x:c r="AE7" s="162" t="n">
        <x:f>AB7</x:f>
        <x:v>0</x:v>
      </x:c>
      <x:c r="AF7" s="162" t="n">
        <x:f>AC7</x:f>
        <x:v>0.2</x:v>
      </x:c>
      <x:c r="AG7" s="162" t="str">
        <x:f>AD7</x:f>
        <x:v>share</x:v>
      </x:c>
      <x:c r="AH7" s="162" t="n">
        <x:f>AE7</x:f>
        <x:v>0</x:v>
      </x:c>
      <x:c r="AI7" s="162" t="n">
        <x:f>AF7</x:f>
        <x:v>0.2</x:v>
      </x:c>
      <x:c r="AJ7" s="162" t="str">
        <x:f>AG7</x:f>
        <x:v>share</x:v>
      </x:c>
      <x:c r="AK7" s="162" t="n">
        <x:f>AH7</x:f>
        <x:v>0</x:v>
      </x:c>
      <x:c r="AL7" s="162" t="n">
        <x:f>AI7</x:f>
        <x:v>0.2</x:v>
      </x:c>
      <x:c r="AM7" s="162" t="str">
        <x:f>AJ7</x:f>
        <x:v>share</x:v>
      </x:c>
      <x:c r="AN7" s="162" t="n">
        <x:f>AK7</x:f>
        <x:v>0</x:v>
      </x:c>
    </x:row>
    <x:row r="8">
      <x:c r="A8" s="161" t="str">
        <x:v>Default rate</x:v>
      </x:c>
      <x:c r="B8" s="146" t="n">
        <x:v>0.032</x:v>
      </x:c>
      <x:c r="C8" s="146" t="str">
        <x:v>percent</x:v>
      </x:c>
      <x:c r="D8" s="146"/>
      <x:c r="E8" s="163" t="n">
        <x:f>B8</x:f>
        <x:v>0.032</x:v>
      </x:c>
      <x:c r="F8" s="163" t="str">
        <x:f>C8</x:f>
        <x:v>percent</x:v>
      </x:c>
      <x:c r="G8" s="163" t="n">
        <x:f>D8</x:f>
        <x:v>0</x:v>
      </x:c>
      <x:c r="H8" s="163" t="n">
        <x:f>E8</x:f>
        <x:v>0.032</x:v>
      </x:c>
      <x:c r="I8" s="163" t="str">
        <x:f>F8</x:f>
        <x:v>percent</x:v>
      </x:c>
      <x:c r="J8" s="163" t="n">
        <x:f>G8</x:f>
        <x:v>0</x:v>
      </x:c>
      <x:c r="K8" s="163" t="n">
        <x:f>H8</x:f>
        <x:v>0.032</x:v>
      </x:c>
      <x:c r="L8" s="163" t="str">
        <x:f>I8</x:f>
        <x:v>percent</x:v>
      </x:c>
      <x:c r="M8" s="163" t="n">
        <x:f>J8</x:f>
        <x:v>0</x:v>
      </x:c>
      <x:c r="N8" s="163" t="n">
        <x:f>K8</x:f>
        <x:v>0.032</x:v>
      </x:c>
      <x:c r="O8" s="163" t="str">
        <x:f>L8</x:f>
        <x:v>percent</x:v>
      </x:c>
      <x:c r="P8" s="163" t="n">
        <x:f>M8</x:f>
        <x:v>0</x:v>
      </x:c>
      <x:c r="Q8" s="163" t="n">
        <x:f>N8</x:f>
        <x:v>0.032</x:v>
      </x:c>
      <x:c r="R8" s="163" t="str">
        <x:f>O8</x:f>
        <x:v>percent</x:v>
      </x:c>
      <x:c r="S8" s="163" t="n">
        <x:f>P8</x:f>
        <x:v>0</x:v>
      </x:c>
      <x:c r="T8" s="163" t="n">
        <x:f>Q8</x:f>
        <x:v>0.032</x:v>
      </x:c>
      <x:c r="U8" s="163" t="str">
        <x:f>R8</x:f>
        <x:v>percent</x:v>
      </x:c>
      <x:c r="V8" s="163" t="n">
        <x:f>S8</x:f>
        <x:v>0</x:v>
      </x:c>
      <x:c r="W8" s="163" t="n">
        <x:f>T8</x:f>
        <x:v>0.032</x:v>
      </x:c>
      <x:c r="X8" s="163" t="str">
        <x:f>U8</x:f>
        <x:v>percent</x:v>
      </x:c>
      <x:c r="Y8" s="163" t="n">
        <x:f>V8</x:f>
        <x:v>0</x:v>
      </x:c>
      <x:c r="Z8" s="163" t="n">
        <x:f>W8</x:f>
        <x:v>0.032</x:v>
      </x:c>
      <x:c r="AA8" s="163" t="str">
        <x:f>X8</x:f>
        <x:v>percent</x:v>
      </x:c>
      <x:c r="AB8" s="163" t="n">
        <x:f>Y8</x:f>
        <x:v>0</x:v>
      </x:c>
      <x:c r="AC8" s="163" t="n">
        <x:f>Z8</x:f>
        <x:v>0.032</x:v>
      </x:c>
      <x:c r="AD8" s="163" t="str">
        <x:f>AA8</x:f>
        <x:v>percent</x:v>
      </x:c>
      <x:c r="AE8" s="163" t="n">
        <x:f>AB8</x:f>
        <x:v>0</x:v>
      </x:c>
      <x:c r="AF8" s="163" t="n">
        <x:f>AC8</x:f>
        <x:v>0.032</x:v>
      </x:c>
      <x:c r="AG8" s="163" t="str">
        <x:f>AD8</x:f>
        <x:v>percent</x:v>
      </x:c>
      <x:c r="AH8" s="163" t="n">
        <x:f>AE8</x:f>
        <x:v>0</x:v>
      </x:c>
      <x:c r="AI8" s="163" t="n">
        <x:f>AF8</x:f>
        <x:v>0.032</x:v>
      </x:c>
      <x:c r="AJ8" s="163" t="str">
        <x:f>AG8</x:f>
        <x:v>percent</x:v>
      </x:c>
      <x:c r="AK8" s="163" t="n">
        <x:f>AH8</x:f>
        <x:v>0</x:v>
      </x:c>
      <x:c r="AL8" s="163" t="n">
        <x:f>AI8</x:f>
        <x:v>0.032</x:v>
      </x:c>
      <x:c r="AM8" s="163" t="str">
        <x:f>AJ8</x:f>
        <x:v>percent</x:v>
      </x:c>
      <x:c r="AN8" s="163" t="n">
        <x:f>AK8</x:f>
        <x:v>0</x:v>
      </x:c>
    </x:row>
    <x:row r="9">
      <x:c r="A9" s="161" t="str">
        <x:v>Defaults</x:v>
      </x:c>
      <x:c r="B9" s="146" t="n">
        <x:f>B5*B8</x:f>
        <x:v>6048000</x:v>
      </x:c>
      <x:c r="C9" s="146" t="str">
        <x:v>KES</x:v>
      </x:c>
      <x:c r="D9" s="146"/>
      <x:c r="E9" s="162" t="n">
        <x:f>B9</x:f>
        <x:v>6048000</x:v>
      </x:c>
      <x:c r="F9" s="162" t="str">
        <x:f>C9</x:f>
        <x:v>KES</x:v>
      </x:c>
      <x:c r="G9" s="162" t="n">
        <x:f>D9</x:f>
        <x:v>0</x:v>
      </x:c>
      <x:c r="H9" s="162" t="n">
        <x:f>E9</x:f>
        <x:v>6048000</x:v>
      </x:c>
      <x:c r="I9" s="162" t="str">
        <x:f>F9</x:f>
        <x:v>KES</x:v>
      </x:c>
      <x:c r="J9" s="162" t="n">
        <x:f>G9</x:f>
        <x:v>0</x:v>
      </x:c>
      <x:c r="K9" s="162" t="n">
        <x:f>H9</x:f>
        <x:v>6048000</x:v>
      </x:c>
      <x:c r="L9" s="162" t="str">
        <x:f>I9</x:f>
        <x:v>KES</x:v>
      </x:c>
      <x:c r="M9" s="162" t="n">
        <x:f>J9</x:f>
        <x:v>0</x:v>
      </x:c>
      <x:c r="N9" s="162" t="n">
        <x:f>K9</x:f>
        <x:v>6048000</x:v>
      </x:c>
      <x:c r="O9" s="162" t="str">
        <x:f>L9</x:f>
        <x:v>KES</x:v>
      </x:c>
      <x:c r="P9" s="162" t="n">
        <x:f>M9</x:f>
        <x:v>0</x:v>
      </x:c>
      <x:c r="Q9" s="162" t="n">
        <x:f>N9</x:f>
        <x:v>6048000</x:v>
      </x:c>
      <x:c r="R9" s="162" t="str">
        <x:f>O9</x:f>
        <x:v>KES</x:v>
      </x:c>
      <x:c r="S9" s="162" t="n">
        <x:f>P9</x:f>
        <x:v>0</x:v>
      </x:c>
      <x:c r="T9" s="162" t="n">
        <x:f>Q9</x:f>
        <x:v>6048000</x:v>
      </x:c>
      <x:c r="U9" s="162" t="str">
        <x:f>R9</x:f>
        <x:v>KES</x:v>
      </x:c>
      <x:c r="V9" s="162" t="n">
        <x:f>S9</x:f>
        <x:v>0</x:v>
      </x:c>
      <x:c r="W9" s="162" t="n">
        <x:f>T9</x:f>
        <x:v>6048000</x:v>
      </x:c>
      <x:c r="X9" s="162" t="str">
        <x:f>U9</x:f>
        <x:v>KES</x:v>
      </x:c>
      <x:c r="Y9" s="162" t="n">
        <x:f>V9</x:f>
        <x:v>0</x:v>
      </x:c>
      <x:c r="Z9" s="162" t="n">
        <x:f>W9</x:f>
        <x:v>6048000</x:v>
      </x:c>
      <x:c r="AA9" s="162" t="str">
        <x:f>X9</x:f>
        <x:v>KES</x:v>
      </x:c>
      <x:c r="AB9" s="162" t="n">
        <x:f>Y9</x:f>
        <x:v>0</x:v>
      </x:c>
      <x:c r="AC9" s="162" t="n">
        <x:f>Z9</x:f>
        <x:v>6048000</x:v>
      </x:c>
      <x:c r="AD9" s="162" t="str">
        <x:f>AA9</x:f>
        <x:v>KES</x:v>
      </x:c>
      <x:c r="AE9" s="162" t="n">
        <x:f>AB9</x:f>
        <x:v>0</x:v>
      </x:c>
      <x:c r="AF9" s="162" t="n">
        <x:f>AC9</x:f>
        <x:v>6048000</x:v>
      </x:c>
      <x:c r="AG9" s="162" t="str">
        <x:f>AD9</x:f>
        <x:v>KES</x:v>
      </x:c>
      <x:c r="AH9" s="162" t="n">
        <x:f>AE9</x:f>
        <x:v>0</x:v>
      </x:c>
      <x:c r="AI9" s="162" t="n">
        <x:f>AF9</x:f>
        <x:v>6048000</x:v>
      </x:c>
      <x:c r="AJ9" s="162" t="str">
        <x:f>AG9</x:f>
        <x:v>KES</x:v>
      </x:c>
      <x:c r="AK9" s="162" t="n">
        <x:f>AH9</x:f>
        <x:v>0</x:v>
      </x:c>
      <x:c r="AL9" s="162" t="n">
        <x:f>AI9</x:f>
        <x:v>6048000</x:v>
      </x:c>
      <x:c r="AM9" s="162" t="str">
        <x:f>AJ9</x:f>
        <x:v>KES</x:v>
      </x:c>
      <x:c r="AN9" s="162" t="n">
        <x:f>AK9</x:f>
        <x:v>0</x:v>
      </x:c>
    </x:row>
    <x:row r="10">
      <x:c r="A10" s="161" t="str">
        <x:v>Recoveries</x:v>
      </x:c>
      <x:c r="B10" s="146" t="n">
        <x:f>B9*'Assumptions'!B17*'Scenario_Control'!$B$8</x:f>
        <x:v>2419200</x:v>
      </x:c>
      <x:c r="C10" s="146" t="str">
        <x:v>KES</x:v>
      </x:c>
      <x:c r="D10" s="146"/>
      <x:c r="E10" s="162" t="n">
        <x:f>B10</x:f>
        <x:v>2419200</x:v>
      </x:c>
      <x:c r="F10" s="162" t="str">
        <x:f>C10</x:f>
        <x:v>KES</x:v>
      </x:c>
      <x:c r="G10" s="162" t="n">
        <x:f>D10</x:f>
        <x:v>0</x:v>
      </x:c>
      <x:c r="H10" s="162" t="n">
        <x:f>E10</x:f>
        <x:v>2419200</x:v>
      </x:c>
      <x:c r="I10" s="162" t="str">
        <x:f>F10</x:f>
        <x:v>KES</x:v>
      </x:c>
      <x:c r="J10" s="162" t="n">
        <x:f>G10</x:f>
        <x:v>0</x:v>
      </x:c>
      <x:c r="K10" s="162" t="n">
        <x:f>H10</x:f>
        <x:v>2419200</x:v>
      </x:c>
      <x:c r="L10" s="162" t="str">
        <x:f>I10</x:f>
        <x:v>KES</x:v>
      </x:c>
      <x:c r="M10" s="162" t="n">
        <x:f>J10</x:f>
        <x:v>0</x:v>
      </x:c>
      <x:c r="N10" s="162" t="n">
        <x:f>K10</x:f>
        <x:v>2419200</x:v>
      </x:c>
      <x:c r="O10" s="162" t="str">
        <x:f>L10</x:f>
        <x:v>KES</x:v>
      </x:c>
      <x:c r="P10" s="162" t="n">
        <x:f>M10</x:f>
        <x:v>0</x:v>
      </x:c>
      <x:c r="Q10" s="162" t="n">
        <x:f>N10</x:f>
        <x:v>2419200</x:v>
      </x:c>
      <x:c r="R10" s="162" t="str">
        <x:f>O10</x:f>
        <x:v>KES</x:v>
      </x:c>
      <x:c r="S10" s="162" t="n">
        <x:f>P10</x:f>
        <x:v>0</x:v>
      </x:c>
      <x:c r="T10" s="162" t="n">
        <x:f>Q10</x:f>
        <x:v>2419200</x:v>
      </x:c>
      <x:c r="U10" s="162" t="str">
        <x:f>R10</x:f>
        <x:v>KES</x:v>
      </x:c>
      <x:c r="V10" s="162" t="n">
        <x:f>S10</x:f>
        <x:v>0</x:v>
      </x:c>
      <x:c r="W10" s="162" t="n">
        <x:f>T10</x:f>
        <x:v>2419200</x:v>
      </x:c>
      <x:c r="X10" s="162" t="str">
        <x:f>U10</x:f>
        <x:v>KES</x:v>
      </x:c>
      <x:c r="Y10" s="162" t="n">
        <x:f>V10</x:f>
        <x:v>0</x:v>
      </x:c>
      <x:c r="Z10" s="162" t="n">
        <x:f>W10</x:f>
        <x:v>2419200</x:v>
      </x:c>
      <x:c r="AA10" s="162" t="str">
        <x:f>X10</x:f>
        <x:v>KES</x:v>
      </x:c>
      <x:c r="AB10" s="162" t="n">
        <x:f>Y10</x:f>
        <x:v>0</x:v>
      </x:c>
      <x:c r="AC10" s="162" t="n">
        <x:f>Z10</x:f>
        <x:v>2419200</x:v>
      </x:c>
      <x:c r="AD10" s="162" t="str">
        <x:f>AA10</x:f>
        <x:v>KES</x:v>
      </x:c>
      <x:c r="AE10" s="162" t="n">
        <x:f>AB10</x:f>
        <x:v>0</x:v>
      </x:c>
      <x:c r="AF10" s="162" t="n">
        <x:f>AC10</x:f>
        <x:v>2419200</x:v>
      </x:c>
      <x:c r="AG10" s="162" t="str">
        <x:f>AD10</x:f>
        <x:v>KES</x:v>
      </x:c>
      <x:c r="AH10" s="162" t="n">
        <x:f>AE10</x:f>
        <x:v>0</x:v>
      </x:c>
      <x:c r="AI10" s="162" t="n">
        <x:f>AF10</x:f>
        <x:v>2419200</x:v>
      </x:c>
      <x:c r="AJ10" s="162" t="str">
        <x:f>AG10</x:f>
        <x:v>KES</x:v>
      </x:c>
      <x:c r="AK10" s="162" t="n">
        <x:f>AH10</x:f>
        <x:v>0</x:v>
      </x:c>
      <x:c r="AL10" s="162" t="n">
        <x:f>AI10</x:f>
        <x:v>2419200</x:v>
      </x:c>
      <x:c r="AM10" s="162" t="str">
        <x:f>AJ10</x:f>
        <x:v>KES</x:v>
      </x:c>
      <x:c r="AN10" s="162" t="n">
        <x:f>AK10</x:f>
        <x:v>0</x:v>
      </x:c>
    </x:row>
    <x:row r="11">
      <x:c r="A11" s="161" t="str">
        <x:v>Closing balance</x:v>
      </x:c>
      <x:c r="B11" s="146" t="n">
        <x:f>B6+B5-B9+B10</x:f>
        <x:v>185371200</x:v>
      </x:c>
      <x:c r="C11" s="146" t="str">
        <x:v>KES</x:v>
      </x:c>
      <x:c r="D11" s="146"/>
      <x:c r="E11" s="162" t="n">
        <x:f>B11</x:f>
        <x:v>185371200</x:v>
      </x:c>
      <x:c r="F11" s="162" t="str">
        <x:f>C11</x:f>
        <x:v>KES</x:v>
      </x:c>
      <x:c r="G11" s="162" t="n">
        <x:f>D11</x:f>
        <x:v>0</x:v>
      </x:c>
      <x:c r="H11" s="162" t="n">
        <x:f>E11</x:f>
        <x:v>185371200</x:v>
      </x:c>
      <x:c r="I11" s="162" t="str">
        <x:f>F11</x:f>
        <x:v>KES</x:v>
      </x:c>
      <x:c r="J11" s="162" t="n">
        <x:f>G11</x:f>
        <x:v>0</x:v>
      </x:c>
      <x:c r="K11" s="162" t="n">
        <x:f>H11</x:f>
        <x:v>185371200</x:v>
      </x:c>
      <x:c r="L11" s="162" t="str">
        <x:f>I11</x:f>
        <x:v>KES</x:v>
      </x:c>
      <x:c r="M11" s="162" t="n">
        <x:f>J11</x:f>
        <x:v>0</x:v>
      </x:c>
      <x:c r="N11" s="162" t="n">
        <x:f>K11</x:f>
        <x:v>185371200</x:v>
      </x:c>
      <x:c r="O11" s="162" t="str">
        <x:f>L11</x:f>
        <x:v>KES</x:v>
      </x:c>
      <x:c r="P11" s="162" t="n">
        <x:f>M11</x:f>
        <x:v>0</x:v>
      </x:c>
      <x:c r="Q11" s="162" t="n">
        <x:f>N11</x:f>
        <x:v>185371200</x:v>
      </x:c>
      <x:c r="R11" s="162" t="str">
        <x:f>O11</x:f>
        <x:v>KES</x:v>
      </x:c>
      <x:c r="S11" s="162" t="n">
        <x:f>P11</x:f>
        <x:v>0</x:v>
      </x:c>
      <x:c r="T11" s="162" t="n">
        <x:f>Q11</x:f>
        <x:v>185371200</x:v>
      </x:c>
      <x:c r="U11" s="162" t="str">
        <x:f>R11</x:f>
        <x:v>KES</x:v>
      </x:c>
      <x:c r="V11" s="162" t="n">
        <x:f>S11</x:f>
        <x:v>0</x:v>
      </x:c>
      <x:c r="W11" s="162" t="n">
        <x:f>T11</x:f>
        <x:v>185371200</x:v>
      </x:c>
      <x:c r="X11" s="162" t="str">
        <x:f>U11</x:f>
        <x:v>KES</x:v>
      </x:c>
      <x:c r="Y11" s="162" t="n">
        <x:f>V11</x:f>
        <x:v>0</x:v>
      </x:c>
      <x:c r="Z11" s="162" t="n">
        <x:f>W11</x:f>
        <x:v>185371200</x:v>
      </x:c>
      <x:c r="AA11" s="162" t="str">
        <x:f>X11</x:f>
        <x:v>KES</x:v>
      </x:c>
      <x:c r="AB11" s="162" t="n">
        <x:f>Y11</x:f>
        <x:v>0</x:v>
      </x:c>
      <x:c r="AC11" s="162" t="n">
        <x:f>Z11</x:f>
        <x:v>185371200</x:v>
      </x:c>
      <x:c r="AD11" s="162" t="str">
        <x:f>AA11</x:f>
        <x:v>KES</x:v>
      </x:c>
      <x:c r="AE11" s="162" t="n">
        <x:f>AB11</x:f>
        <x:v>0</x:v>
      </x:c>
      <x:c r="AF11" s="162" t="n">
        <x:f>AC11</x:f>
        <x:v>185371200</x:v>
      </x:c>
      <x:c r="AG11" s="162" t="str">
        <x:f>AD11</x:f>
        <x:v>KES</x:v>
      </x:c>
      <x:c r="AH11" s="162" t="n">
        <x:f>AE11</x:f>
        <x:v>0</x:v>
      </x:c>
      <x:c r="AI11" s="162" t="n">
        <x:f>AF11</x:f>
        <x:v>185371200</x:v>
      </x:c>
      <x:c r="AJ11" s="162" t="str">
        <x:f>AG11</x:f>
        <x:v>KES</x:v>
      </x:c>
      <x:c r="AK11" s="162" t="n">
        <x:f>AH11</x:f>
        <x:v>0</x:v>
      </x:c>
      <x:c r="AL11" s="162" t="n">
        <x:f>AI11</x:f>
        <x:v>185371200</x:v>
      </x:c>
      <x:c r="AM11" s="162" t="str">
        <x:f>AJ11</x:f>
        <x:v>KES</x:v>
      </x:c>
      <x:c r="AN11" s="162" t="n">
        <x:f>AK11</x:f>
        <x:v>0</x:v>
      </x:c>
    </x:row>
    <x:row r="12">
      <x:c r="A12" s="161" t="str">
        <x:v>Net cash collections</x:v>
      </x:c>
      <x:c r="B12" s="146" t="n">
        <x:f>B7*B5+B10</x:f>
        <x:v>40219200</x:v>
      </x:c>
      <x:c r="C12" s="146" t="str">
        <x:v>KES</x:v>
      </x:c>
      <x:c r="D12" s="146"/>
      <x:c r="E12" s="162" t="n">
        <x:f>B12</x:f>
        <x:v>40219200</x:v>
      </x:c>
      <x:c r="F12" s="162" t="str">
        <x:f>C12</x:f>
        <x:v>KES</x:v>
      </x:c>
      <x:c r="G12" s="162" t="n">
        <x:f>D12</x:f>
        <x:v>0</x:v>
      </x:c>
      <x:c r="H12" s="162" t="n">
        <x:f>E12</x:f>
        <x:v>40219200</x:v>
      </x:c>
      <x:c r="I12" s="162" t="str">
        <x:f>F12</x:f>
        <x:v>KES</x:v>
      </x:c>
      <x:c r="J12" s="162" t="n">
        <x:f>G12</x:f>
        <x:v>0</x:v>
      </x:c>
      <x:c r="K12" s="162" t="n">
        <x:f>H12</x:f>
        <x:v>40219200</x:v>
      </x:c>
      <x:c r="L12" s="162" t="str">
        <x:f>I12</x:f>
        <x:v>KES</x:v>
      </x:c>
      <x:c r="M12" s="162" t="n">
        <x:f>J12</x:f>
        <x:v>0</x:v>
      </x:c>
      <x:c r="N12" s="162" t="n">
        <x:f>K12</x:f>
        <x:v>40219200</x:v>
      </x:c>
      <x:c r="O12" s="162" t="str">
        <x:f>L12</x:f>
        <x:v>KES</x:v>
      </x:c>
      <x:c r="P12" s="162" t="n">
        <x:f>M12</x:f>
        <x:v>0</x:v>
      </x:c>
      <x:c r="Q12" s="162" t="n">
        <x:f>N12</x:f>
        <x:v>40219200</x:v>
      </x:c>
      <x:c r="R12" s="162" t="str">
        <x:f>O12</x:f>
        <x:v>KES</x:v>
      </x:c>
      <x:c r="S12" s="162" t="n">
        <x:f>P12</x:f>
        <x:v>0</x:v>
      </x:c>
      <x:c r="T12" s="162" t="n">
        <x:f>Q12</x:f>
        <x:v>40219200</x:v>
      </x:c>
      <x:c r="U12" s="162" t="str">
        <x:f>R12</x:f>
        <x:v>KES</x:v>
      </x:c>
      <x:c r="V12" s="162" t="n">
        <x:f>S12</x:f>
        <x:v>0</x:v>
      </x:c>
      <x:c r="W12" s="162" t="n">
        <x:f>T12</x:f>
        <x:v>40219200</x:v>
      </x:c>
      <x:c r="X12" s="162" t="str">
        <x:f>U12</x:f>
        <x:v>KES</x:v>
      </x:c>
      <x:c r="Y12" s="162" t="n">
        <x:f>V12</x:f>
        <x:v>0</x:v>
      </x:c>
      <x:c r="Z12" s="162" t="n">
        <x:f>W12</x:f>
        <x:v>40219200</x:v>
      </x:c>
      <x:c r="AA12" s="162" t="str">
        <x:f>X12</x:f>
        <x:v>KES</x:v>
      </x:c>
      <x:c r="AB12" s="162" t="n">
        <x:f>Y12</x:f>
        <x:v>0</x:v>
      </x:c>
      <x:c r="AC12" s="162" t="n">
        <x:f>Z12</x:f>
        <x:v>40219200</x:v>
      </x:c>
      <x:c r="AD12" s="162" t="str">
        <x:f>AA12</x:f>
        <x:v>KES</x:v>
      </x:c>
      <x:c r="AE12" s="162" t="n">
        <x:f>AB12</x:f>
        <x:v>0</x:v>
      </x:c>
      <x:c r="AF12" s="162" t="n">
        <x:f>AC12</x:f>
        <x:v>40219200</x:v>
      </x:c>
      <x:c r="AG12" s="162" t="str">
        <x:f>AD12</x:f>
        <x:v>KES</x:v>
      </x:c>
      <x:c r="AH12" s="162" t="n">
        <x:f>AE12</x:f>
        <x:v>0</x:v>
      </x:c>
      <x:c r="AI12" s="162" t="n">
        <x:f>AF12</x:f>
        <x:v>40219200</x:v>
      </x:c>
      <x:c r="AJ12" s="162" t="str">
        <x:f>AG12</x:f>
        <x:v>KES</x:v>
      </x:c>
      <x:c r="AK12" s="162" t="n">
        <x:f>AH12</x:f>
        <x:v>0</x:v>
      </x:c>
      <x:c r="AL12" s="162" t="n">
        <x:f>AI12</x:f>
        <x:v>40219200</x:v>
      </x:c>
      <x:c r="AM12" s="162" t="str">
        <x:f>AJ12</x:f>
        <x:v>KES</x:v>
      </x:c>
      <x:c r="AN12" s="162" t="n">
        <x:f>AK12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1" ht="28" customHeight="1">
      <x:c r="A1" s="144" t="str">
        <x:v>Microloan Cohort Schedule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  <x:c r="AN1" s="146"/>
    </x:row>
    <x:row r="2">
      <x:c r="A2" s="145" t="str">
        <x:v>Monthly cohort cash mechanics; base case inputs are illustrative where not term-sheet backed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  <x:c r="AN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  <x:c r="AN3" s="146"/>
    </x:row>
    <x:row r="4">
      <x:c r="A4" s="150" t="str">
        <x:v>Metric</x:v>
      </x:c>
      <x:c r="B4" s="150" t="str">
        <x:v>Base rate</x:v>
      </x:c>
      <x:c r="C4" s="150" t="str">
        <x:v>Unit</x:v>
      </x:c>
      <x:c r="D4" s="150" t="str">
        <x:v>Scenario rate</x:v>
      </x:c>
      <x:c r="E4" s="150" t="str">
        <x:v>M01</x:v>
      </x:c>
      <x:c r="F4" s="150" t="str">
        <x:v>M02</x:v>
      </x:c>
      <x:c r="G4" s="150" t="str">
        <x:v>M03</x:v>
      </x:c>
      <x:c r="H4" s="150" t="str">
        <x:v>M04</x:v>
      </x:c>
      <x:c r="I4" s="150" t="str">
        <x:v>M05</x:v>
      </x:c>
      <x:c r="J4" s="150" t="str">
        <x:v>M06</x:v>
      </x:c>
      <x:c r="K4" s="150" t="str">
        <x:v>M07</x:v>
      </x:c>
      <x:c r="L4" s="150" t="str">
        <x:v>M08</x:v>
      </x:c>
      <x:c r="M4" s="150" t="str">
        <x:v>M09</x:v>
      </x:c>
      <x:c r="N4" s="150" t="str">
        <x:v>M10</x:v>
      </x:c>
      <x:c r="O4" s="150" t="str">
        <x:v>M11</x:v>
      </x:c>
      <x:c r="P4" s="150" t="str">
        <x:v>M12</x:v>
      </x:c>
      <x:c r="Q4" s="150" t="str">
        <x:v>M13</x:v>
      </x:c>
      <x:c r="R4" s="150" t="str">
        <x:v>M14</x:v>
      </x:c>
      <x:c r="S4" s="150" t="str">
        <x:v>M15</x:v>
      </x:c>
      <x:c r="T4" s="150" t="str">
        <x:v>M16</x:v>
      </x:c>
      <x:c r="U4" s="150" t="str">
        <x:v>M17</x:v>
      </x:c>
      <x:c r="V4" s="150" t="str">
        <x:v>M18</x:v>
      </x:c>
      <x:c r="W4" s="150" t="str">
        <x:v>M19</x:v>
      </x:c>
      <x:c r="X4" s="150" t="str">
        <x:v>M20</x:v>
      </x:c>
      <x:c r="Y4" s="150" t="str">
        <x:v>M21</x:v>
      </x:c>
      <x:c r="Z4" s="150" t="str">
        <x:v>M22</x:v>
      </x:c>
      <x:c r="AA4" s="150" t="str">
        <x:v>M23</x:v>
      </x:c>
      <x:c r="AB4" s="150" t="str">
        <x:v>M24</x:v>
      </x:c>
      <x:c r="AC4" s="150" t="str">
        <x:v>M25</x:v>
      </x:c>
      <x:c r="AD4" s="150" t="str">
        <x:v>M26</x:v>
      </x:c>
      <x:c r="AE4" s="150" t="str">
        <x:v>M27</x:v>
      </x:c>
      <x:c r="AF4" s="150" t="str">
        <x:v>M28</x:v>
      </x:c>
      <x:c r="AG4" s="150" t="str">
        <x:v>M29</x:v>
      </x:c>
      <x:c r="AH4" s="150" t="str">
        <x:v>M30</x:v>
      </x:c>
      <x:c r="AI4" s="150" t="str">
        <x:v>M31</x:v>
      </x:c>
      <x:c r="AJ4" s="150" t="str">
        <x:v>M32</x:v>
      </x:c>
      <x:c r="AK4" s="150" t="str">
        <x:v>M33</x:v>
      </x:c>
      <x:c r="AL4" s="150" t="str">
        <x:v>M34</x:v>
      </x:c>
      <x:c r="AM4" s="150" t="str">
        <x:v>M35</x:v>
      </x:c>
      <x:c r="AN4" s="146" t="str">
        <x:v>M36</x:v>
      </x:c>
    </x:row>
    <x:row r="5">
      <x:c r="A5" s="161" t="str">
        <x:v>Originations</x:v>
      </x:c>
      <x:c r="B5" s="146" t="n">
        <x:f>'Origination_Drivers'!D15</x:f>
        <x:v>216000000</x:v>
      </x:c>
      <x:c r="C5" s="146" t="str">
        <x:v>KES</x:v>
      </x:c>
      <x:c r="D5" s="146"/>
      <x:c r="E5" s="162" t="n">
        <x:f>B5</x:f>
        <x:v>216000000</x:v>
      </x:c>
      <x:c r="F5" s="162" t="str">
        <x:f>C5</x:f>
        <x:v>KES</x:v>
      </x:c>
      <x:c r="G5" s="162" t="n">
        <x:f>D5</x:f>
        <x:v>0</x:v>
      </x:c>
      <x:c r="H5" s="162" t="n">
        <x:f>E5</x:f>
        <x:v>216000000</x:v>
      </x:c>
      <x:c r="I5" s="162" t="str">
        <x:f>F5</x:f>
        <x:v>KES</x:v>
      </x:c>
      <x:c r="J5" s="162" t="n">
        <x:f>G5</x:f>
        <x:v>0</x:v>
      </x:c>
      <x:c r="K5" s="162" t="n">
        <x:f>H5</x:f>
        <x:v>216000000</x:v>
      </x:c>
      <x:c r="L5" s="162" t="str">
        <x:f>I5</x:f>
        <x:v>KES</x:v>
      </x:c>
      <x:c r="M5" s="162" t="n">
        <x:f>J5</x:f>
        <x:v>0</x:v>
      </x:c>
      <x:c r="N5" s="162" t="n">
        <x:f>K5</x:f>
        <x:v>216000000</x:v>
      </x:c>
      <x:c r="O5" s="162" t="str">
        <x:f>L5</x:f>
        <x:v>KES</x:v>
      </x:c>
      <x:c r="P5" s="162" t="n">
        <x:f>M5</x:f>
        <x:v>0</x:v>
      </x:c>
      <x:c r="Q5" s="162" t="n">
        <x:f>N5</x:f>
        <x:v>216000000</x:v>
      </x:c>
      <x:c r="R5" s="162" t="str">
        <x:f>O5</x:f>
        <x:v>KES</x:v>
      </x:c>
      <x:c r="S5" s="162" t="n">
        <x:f>P5</x:f>
        <x:v>0</x:v>
      </x:c>
      <x:c r="T5" s="162" t="n">
        <x:f>Q5</x:f>
        <x:v>216000000</x:v>
      </x:c>
      <x:c r="U5" s="162" t="str">
        <x:f>R5</x:f>
        <x:v>KES</x:v>
      </x:c>
      <x:c r="V5" s="162" t="n">
        <x:f>S5</x:f>
        <x:v>0</x:v>
      </x:c>
      <x:c r="W5" s="162" t="n">
        <x:f>T5</x:f>
        <x:v>216000000</x:v>
      </x:c>
      <x:c r="X5" s="162" t="str">
        <x:f>U5</x:f>
        <x:v>KES</x:v>
      </x:c>
      <x:c r="Y5" s="162" t="n">
        <x:f>V5</x:f>
        <x:v>0</x:v>
      </x:c>
      <x:c r="Z5" s="162" t="n">
        <x:f>W5</x:f>
        <x:v>216000000</x:v>
      </x:c>
      <x:c r="AA5" s="162" t="str">
        <x:f>X5</x:f>
        <x:v>KES</x:v>
      </x:c>
      <x:c r="AB5" s="162" t="n">
        <x:f>Y5</x:f>
        <x:v>0</x:v>
      </x:c>
      <x:c r="AC5" s="162" t="n">
        <x:f>Z5</x:f>
        <x:v>216000000</x:v>
      </x:c>
      <x:c r="AD5" s="162" t="str">
        <x:f>AA5</x:f>
        <x:v>KES</x:v>
      </x:c>
      <x:c r="AE5" s="162" t="n">
        <x:f>AB5</x:f>
        <x:v>0</x:v>
      </x:c>
      <x:c r="AF5" s="162" t="n">
        <x:f>AC5</x:f>
        <x:v>216000000</x:v>
      </x:c>
      <x:c r="AG5" s="162" t="str">
        <x:f>AD5</x:f>
        <x:v>KES</x:v>
      </x:c>
      <x:c r="AH5" s="162" t="n">
        <x:f>AE5</x:f>
        <x:v>0</x:v>
      </x:c>
      <x:c r="AI5" s="162" t="n">
        <x:f>AF5</x:f>
        <x:v>216000000</x:v>
      </x:c>
      <x:c r="AJ5" s="162" t="str">
        <x:f>AG5</x:f>
        <x:v>KES</x:v>
      </x:c>
      <x:c r="AK5" s="162" t="n">
        <x:f>AH5</x:f>
        <x:v>0</x:v>
      </x:c>
      <x:c r="AL5" s="162" t="n">
        <x:f>AI5</x:f>
        <x:v>216000000</x:v>
      </x:c>
      <x:c r="AM5" s="162" t="str">
        <x:f>AJ5</x:f>
        <x:v>KES</x:v>
      </x:c>
      <x:c r="AN5" s="162" t="n">
        <x:f>AK5</x:f>
        <x:v>0</x:v>
      </x:c>
    </x:row>
    <x:row r="6">
      <x:c r="A6" s="161" t="str">
        <x:v>Opening balance</x:v>
      </x:c>
      <x:c r="B6" s="146" t="n">
        <x:v>0</x:v>
      </x:c>
      <x:c r="C6" s="146" t="str">
        <x:v>KES</x:v>
      </x:c>
      <x:c r="D6" s="146"/>
      <x:c r="E6" s="162" t="n">
        <x:f>B6</x:f>
        <x:v>0</x:v>
      </x:c>
      <x:c r="F6" s="162" t="str">
        <x:f>C6</x:f>
        <x:v>KES</x:v>
      </x:c>
      <x:c r="G6" s="162" t="n">
        <x:f>D6</x:f>
        <x:v>0</x:v>
      </x:c>
      <x:c r="H6" s="162" t="n">
        <x:f>E6</x:f>
        <x:v>0</x:v>
      </x:c>
      <x:c r="I6" s="162" t="str">
        <x:f>F6</x:f>
        <x:v>KES</x:v>
      </x:c>
      <x:c r="J6" s="162" t="n">
        <x:f>G6</x:f>
        <x:v>0</x:v>
      </x:c>
      <x:c r="K6" s="162" t="n">
        <x:f>H6</x:f>
        <x:v>0</x:v>
      </x:c>
      <x:c r="L6" s="162" t="str">
        <x:f>I6</x:f>
        <x:v>KES</x:v>
      </x:c>
      <x:c r="M6" s="162" t="n">
        <x:f>J6</x:f>
        <x:v>0</x:v>
      </x:c>
      <x:c r="N6" s="162" t="n">
        <x:f>K6</x:f>
        <x:v>0</x:v>
      </x:c>
      <x:c r="O6" s="162" t="str">
        <x:f>L6</x:f>
        <x:v>KES</x:v>
      </x:c>
      <x:c r="P6" s="162" t="n">
        <x:f>M6</x:f>
        <x:v>0</x:v>
      </x:c>
      <x:c r="Q6" s="162" t="n">
        <x:f>N6</x:f>
        <x:v>0</x:v>
      </x:c>
      <x:c r="R6" s="162" t="str">
        <x:f>O6</x:f>
        <x:v>KES</x:v>
      </x:c>
      <x:c r="S6" s="162" t="n">
        <x:f>P6</x:f>
        <x:v>0</x:v>
      </x:c>
      <x:c r="T6" s="162" t="n">
        <x:f>Q6</x:f>
        <x:v>0</x:v>
      </x:c>
      <x:c r="U6" s="162" t="str">
        <x:f>R6</x:f>
        <x:v>KES</x:v>
      </x:c>
      <x:c r="V6" s="162" t="n">
        <x:f>S6</x:f>
        <x:v>0</x:v>
      </x:c>
      <x:c r="W6" s="162" t="n">
        <x:f>T6</x:f>
        <x:v>0</x:v>
      </x:c>
      <x:c r="X6" s="162" t="str">
        <x:f>U6</x:f>
        <x:v>KES</x:v>
      </x:c>
      <x:c r="Y6" s="162" t="n">
        <x:f>V6</x:f>
        <x:v>0</x:v>
      </x:c>
      <x:c r="Z6" s="162" t="n">
        <x:f>W6</x:f>
        <x:v>0</x:v>
      </x:c>
      <x:c r="AA6" s="162" t="str">
        <x:f>X6</x:f>
        <x:v>KES</x:v>
      </x:c>
      <x:c r="AB6" s="162" t="n">
        <x:f>Y6</x:f>
        <x:v>0</x:v>
      </x:c>
      <x:c r="AC6" s="162" t="n">
        <x:f>Z6</x:f>
        <x:v>0</x:v>
      </x:c>
      <x:c r="AD6" s="162" t="str">
        <x:f>AA6</x:f>
        <x:v>KES</x:v>
      </x:c>
      <x:c r="AE6" s="162" t="n">
        <x:f>AB6</x:f>
        <x:v>0</x:v>
      </x:c>
      <x:c r="AF6" s="162" t="n">
        <x:f>AC6</x:f>
        <x:v>0</x:v>
      </x:c>
      <x:c r="AG6" s="162" t="str">
        <x:f>AD6</x:f>
        <x:v>KES</x:v>
      </x:c>
      <x:c r="AH6" s="162" t="n">
        <x:f>AE6</x:f>
        <x:v>0</x:v>
      </x:c>
      <x:c r="AI6" s="162" t="n">
        <x:f>AF6</x:f>
        <x:v>0</x:v>
      </x:c>
      <x:c r="AJ6" s="162" t="str">
        <x:f>AG6</x:f>
        <x:v>KES</x:v>
      </x:c>
      <x:c r="AK6" s="162" t="n">
        <x:f>AH6</x:f>
        <x:v>0</x:v>
      </x:c>
      <x:c r="AL6" s="162" t="n">
        <x:f>AI6</x:f>
        <x:v>0</x:v>
      </x:c>
      <x:c r="AM6" s="162" t="str">
        <x:f>AJ6</x:f>
        <x:v>KES</x:v>
      </x:c>
      <x:c r="AN6" s="162" t="n">
        <x:f>AK6</x:f>
        <x:v>0</x:v>
      </x:c>
    </x:row>
    <x:row r="7">
      <x:c r="A7" s="161" t="str">
        <x:v>Scheduled collections</x:v>
      </x:c>
      <x:c r="B7" s="146" t="n">
        <x:v>0.2</x:v>
      </x:c>
      <x:c r="C7" s="146" t="str">
        <x:v>share</x:v>
      </x:c>
      <x:c r="D7" s="146"/>
      <x:c r="E7" s="162" t="n">
        <x:f>B7</x:f>
        <x:v>0.2</x:v>
      </x:c>
      <x:c r="F7" s="162" t="str">
        <x:f>C7</x:f>
        <x:v>share</x:v>
      </x:c>
      <x:c r="G7" s="162" t="n">
        <x:f>D7</x:f>
        <x:v>0</x:v>
      </x:c>
      <x:c r="H7" s="162" t="n">
        <x:f>E7</x:f>
        <x:v>0.2</x:v>
      </x:c>
      <x:c r="I7" s="162" t="str">
        <x:f>F7</x:f>
        <x:v>share</x:v>
      </x:c>
      <x:c r="J7" s="162" t="n">
        <x:f>G7</x:f>
        <x:v>0</x:v>
      </x:c>
      <x:c r="K7" s="162" t="n">
        <x:f>H7</x:f>
        <x:v>0.2</x:v>
      </x:c>
      <x:c r="L7" s="162" t="str">
        <x:f>I7</x:f>
        <x:v>share</x:v>
      </x:c>
      <x:c r="M7" s="162" t="n">
        <x:f>J7</x:f>
        <x:v>0</x:v>
      </x:c>
      <x:c r="N7" s="162" t="n">
        <x:f>K7</x:f>
        <x:v>0.2</x:v>
      </x:c>
      <x:c r="O7" s="162" t="str">
        <x:f>L7</x:f>
        <x:v>share</x:v>
      </x:c>
      <x:c r="P7" s="162" t="n">
        <x:f>M7</x:f>
        <x:v>0</x:v>
      </x:c>
      <x:c r="Q7" s="162" t="n">
        <x:f>N7</x:f>
        <x:v>0.2</x:v>
      </x:c>
      <x:c r="R7" s="162" t="str">
        <x:f>O7</x:f>
        <x:v>share</x:v>
      </x:c>
      <x:c r="S7" s="162" t="n">
        <x:f>P7</x:f>
        <x:v>0</x:v>
      </x:c>
      <x:c r="T7" s="162" t="n">
        <x:f>Q7</x:f>
        <x:v>0.2</x:v>
      </x:c>
      <x:c r="U7" s="162" t="str">
        <x:f>R7</x:f>
        <x:v>share</x:v>
      </x:c>
      <x:c r="V7" s="162" t="n">
        <x:f>S7</x:f>
        <x:v>0</x:v>
      </x:c>
      <x:c r="W7" s="162" t="n">
        <x:f>T7</x:f>
        <x:v>0.2</x:v>
      </x:c>
      <x:c r="X7" s="162" t="str">
        <x:f>U7</x:f>
        <x:v>share</x:v>
      </x:c>
      <x:c r="Y7" s="162" t="n">
        <x:f>V7</x:f>
        <x:v>0</x:v>
      </x:c>
      <x:c r="Z7" s="162" t="n">
        <x:f>W7</x:f>
        <x:v>0.2</x:v>
      </x:c>
      <x:c r="AA7" s="162" t="str">
        <x:f>X7</x:f>
        <x:v>share</x:v>
      </x:c>
      <x:c r="AB7" s="162" t="n">
        <x:f>Y7</x:f>
        <x:v>0</x:v>
      </x:c>
      <x:c r="AC7" s="162" t="n">
        <x:f>Z7</x:f>
        <x:v>0.2</x:v>
      </x:c>
      <x:c r="AD7" s="162" t="str">
        <x:f>AA7</x:f>
        <x:v>share</x:v>
      </x:c>
      <x:c r="AE7" s="162" t="n">
        <x:f>AB7</x:f>
        <x:v>0</x:v>
      </x:c>
      <x:c r="AF7" s="162" t="n">
        <x:f>AC7</x:f>
        <x:v>0.2</x:v>
      </x:c>
      <x:c r="AG7" s="162" t="str">
        <x:f>AD7</x:f>
        <x:v>share</x:v>
      </x:c>
      <x:c r="AH7" s="162" t="n">
        <x:f>AE7</x:f>
        <x:v>0</x:v>
      </x:c>
      <x:c r="AI7" s="162" t="n">
        <x:f>AF7</x:f>
        <x:v>0.2</x:v>
      </x:c>
      <x:c r="AJ7" s="162" t="str">
        <x:f>AG7</x:f>
        <x:v>share</x:v>
      </x:c>
      <x:c r="AK7" s="162" t="n">
        <x:f>AH7</x:f>
        <x:v>0</x:v>
      </x:c>
      <x:c r="AL7" s="162" t="n">
        <x:f>AI7</x:f>
        <x:v>0.2</x:v>
      </x:c>
      <x:c r="AM7" s="162" t="str">
        <x:f>AJ7</x:f>
        <x:v>share</x:v>
      </x:c>
      <x:c r="AN7" s="162" t="n">
        <x:f>AK7</x:f>
        <x:v>0</x:v>
      </x:c>
    </x:row>
    <x:row r="8">
      <x:c r="A8" s="161" t="str">
        <x:v>Default rate</x:v>
      </x:c>
      <x:c r="B8" s="146" t="n">
        <x:v>0.045</x:v>
      </x:c>
      <x:c r="C8" s="146" t="str">
        <x:v>percent</x:v>
      </x:c>
      <x:c r="D8" s="146"/>
      <x:c r="E8" s="163" t="n">
        <x:f>B8</x:f>
        <x:v>0.045</x:v>
      </x:c>
      <x:c r="F8" s="163" t="str">
        <x:f>C8</x:f>
        <x:v>percent</x:v>
      </x:c>
      <x:c r="G8" s="163" t="n">
        <x:f>D8</x:f>
        <x:v>0</x:v>
      </x:c>
      <x:c r="H8" s="163" t="n">
        <x:f>E8</x:f>
        <x:v>0.045</x:v>
      </x:c>
      <x:c r="I8" s="163" t="str">
        <x:f>F8</x:f>
        <x:v>percent</x:v>
      </x:c>
      <x:c r="J8" s="163" t="n">
        <x:f>G8</x:f>
        <x:v>0</x:v>
      </x:c>
      <x:c r="K8" s="163" t="n">
        <x:f>H8</x:f>
        <x:v>0.045</x:v>
      </x:c>
      <x:c r="L8" s="163" t="str">
        <x:f>I8</x:f>
        <x:v>percent</x:v>
      </x:c>
      <x:c r="M8" s="163" t="n">
        <x:f>J8</x:f>
        <x:v>0</x:v>
      </x:c>
      <x:c r="N8" s="163" t="n">
        <x:f>K8</x:f>
        <x:v>0.045</x:v>
      </x:c>
      <x:c r="O8" s="163" t="str">
        <x:f>L8</x:f>
        <x:v>percent</x:v>
      </x:c>
      <x:c r="P8" s="163" t="n">
        <x:f>M8</x:f>
        <x:v>0</x:v>
      </x:c>
      <x:c r="Q8" s="163" t="n">
        <x:f>N8</x:f>
        <x:v>0.045</x:v>
      </x:c>
      <x:c r="R8" s="163" t="str">
        <x:f>O8</x:f>
        <x:v>percent</x:v>
      </x:c>
      <x:c r="S8" s="163" t="n">
        <x:f>P8</x:f>
        <x:v>0</x:v>
      </x:c>
      <x:c r="T8" s="163" t="n">
        <x:f>Q8</x:f>
        <x:v>0.045</x:v>
      </x:c>
      <x:c r="U8" s="163" t="str">
        <x:f>R8</x:f>
        <x:v>percent</x:v>
      </x:c>
      <x:c r="V8" s="163" t="n">
        <x:f>S8</x:f>
        <x:v>0</x:v>
      </x:c>
      <x:c r="W8" s="163" t="n">
        <x:f>T8</x:f>
        <x:v>0.045</x:v>
      </x:c>
      <x:c r="X8" s="163" t="str">
        <x:f>U8</x:f>
        <x:v>percent</x:v>
      </x:c>
      <x:c r="Y8" s="163" t="n">
        <x:f>V8</x:f>
        <x:v>0</x:v>
      </x:c>
      <x:c r="Z8" s="163" t="n">
        <x:f>W8</x:f>
        <x:v>0.045</x:v>
      </x:c>
      <x:c r="AA8" s="163" t="str">
        <x:f>X8</x:f>
        <x:v>percent</x:v>
      </x:c>
      <x:c r="AB8" s="163" t="n">
        <x:f>Y8</x:f>
        <x:v>0</x:v>
      </x:c>
      <x:c r="AC8" s="163" t="n">
        <x:f>Z8</x:f>
        <x:v>0.045</x:v>
      </x:c>
      <x:c r="AD8" s="163" t="str">
        <x:f>AA8</x:f>
        <x:v>percent</x:v>
      </x:c>
      <x:c r="AE8" s="163" t="n">
        <x:f>AB8</x:f>
        <x:v>0</x:v>
      </x:c>
      <x:c r="AF8" s="163" t="n">
        <x:f>AC8</x:f>
        <x:v>0.045</x:v>
      </x:c>
      <x:c r="AG8" s="163" t="str">
        <x:f>AD8</x:f>
        <x:v>percent</x:v>
      </x:c>
      <x:c r="AH8" s="163" t="n">
        <x:f>AE8</x:f>
        <x:v>0</x:v>
      </x:c>
      <x:c r="AI8" s="163" t="n">
        <x:f>AF8</x:f>
        <x:v>0.045</x:v>
      </x:c>
      <x:c r="AJ8" s="163" t="str">
        <x:f>AG8</x:f>
        <x:v>percent</x:v>
      </x:c>
      <x:c r="AK8" s="163" t="n">
        <x:f>AH8</x:f>
        <x:v>0</x:v>
      </x:c>
      <x:c r="AL8" s="163" t="n">
        <x:f>AI8</x:f>
        <x:v>0.045</x:v>
      </x:c>
      <x:c r="AM8" s="163" t="str">
        <x:f>AJ8</x:f>
        <x:v>percent</x:v>
      </x:c>
      <x:c r="AN8" s="163" t="n">
        <x:f>AK8</x:f>
        <x:v>0</x:v>
      </x:c>
    </x:row>
    <x:row r="9">
      <x:c r="A9" s="161" t="str">
        <x:v>Defaults</x:v>
      </x:c>
      <x:c r="B9" s="146" t="n">
        <x:f>B5*B8</x:f>
        <x:v>9720000</x:v>
      </x:c>
      <x:c r="C9" s="146" t="str">
        <x:v>KES</x:v>
      </x:c>
      <x:c r="D9" s="146"/>
      <x:c r="E9" s="162" t="n">
        <x:f>B9</x:f>
        <x:v>9720000</x:v>
      </x:c>
      <x:c r="F9" s="162" t="str">
        <x:f>C9</x:f>
        <x:v>KES</x:v>
      </x:c>
      <x:c r="G9" s="162" t="n">
        <x:f>D9</x:f>
        <x:v>0</x:v>
      </x:c>
      <x:c r="H9" s="162" t="n">
        <x:f>E9</x:f>
        <x:v>9720000</x:v>
      </x:c>
      <x:c r="I9" s="162" t="str">
        <x:f>F9</x:f>
        <x:v>KES</x:v>
      </x:c>
      <x:c r="J9" s="162" t="n">
        <x:f>G9</x:f>
        <x:v>0</x:v>
      </x:c>
      <x:c r="K9" s="162" t="n">
        <x:f>H9</x:f>
        <x:v>9720000</x:v>
      </x:c>
      <x:c r="L9" s="162" t="str">
        <x:f>I9</x:f>
        <x:v>KES</x:v>
      </x:c>
      <x:c r="M9" s="162" t="n">
        <x:f>J9</x:f>
        <x:v>0</x:v>
      </x:c>
      <x:c r="N9" s="162" t="n">
        <x:f>K9</x:f>
        <x:v>9720000</x:v>
      </x:c>
      <x:c r="O9" s="162" t="str">
        <x:f>L9</x:f>
        <x:v>KES</x:v>
      </x:c>
      <x:c r="P9" s="162" t="n">
        <x:f>M9</x:f>
        <x:v>0</x:v>
      </x:c>
      <x:c r="Q9" s="162" t="n">
        <x:f>N9</x:f>
        <x:v>9720000</x:v>
      </x:c>
      <x:c r="R9" s="162" t="str">
        <x:f>O9</x:f>
        <x:v>KES</x:v>
      </x:c>
      <x:c r="S9" s="162" t="n">
        <x:f>P9</x:f>
        <x:v>0</x:v>
      </x:c>
      <x:c r="T9" s="162" t="n">
        <x:f>Q9</x:f>
        <x:v>9720000</x:v>
      </x:c>
      <x:c r="U9" s="162" t="str">
        <x:f>R9</x:f>
        <x:v>KES</x:v>
      </x:c>
      <x:c r="V9" s="162" t="n">
        <x:f>S9</x:f>
        <x:v>0</x:v>
      </x:c>
      <x:c r="W9" s="162" t="n">
        <x:f>T9</x:f>
        <x:v>9720000</x:v>
      </x:c>
      <x:c r="X9" s="162" t="str">
        <x:f>U9</x:f>
        <x:v>KES</x:v>
      </x:c>
      <x:c r="Y9" s="162" t="n">
        <x:f>V9</x:f>
        <x:v>0</x:v>
      </x:c>
      <x:c r="Z9" s="162" t="n">
        <x:f>W9</x:f>
        <x:v>9720000</x:v>
      </x:c>
      <x:c r="AA9" s="162" t="str">
        <x:f>X9</x:f>
        <x:v>KES</x:v>
      </x:c>
      <x:c r="AB9" s="162" t="n">
        <x:f>Y9</x:f>
        <x:v>0</x:v>
      </x:c>
      <x:c r="AC9" s="162" t="n">
        <x:f>Z9</x:f>
        <x:v>9720000</x:v>
      </x:c>
      <x:c r="AD9" s="162" t="str">
        <x:f>AA9</x:f>
        <x:v>KES</x:v>
      </x:c>
      <x:c r="AE9" s="162" t="n">
        <x:f>AB9</x:f>
        <x:v>0</x:v>
      </x:c>
      <x:c r="AF9" s="162" t="n">
        <x:f>AC9</x:f>
        <x:v>9720000</x:v>
      </x:c>
      <x:c r="AG9" s="162" t="str">
        <x:f>AD9</x:f>
        <x:v>KES</x:v>
      </x:c>
      <x:c r="AH9" s="162" t="n">
        <x:f>AE9</x:f>
        <x:v>0</x:v>
      </x:c>
      <x:c r="AI9" s="162" t="n">
        <x:f>AF9</x:f>
        <x:v>9720000</x:v>
      </x:c>
      <x:c r="AJ9" s="162" t="str">
        <x:f>AG9</x:f>
        <x:v>KES</x:v>
      </x:c>
      <x:c r="AK9" s="162" t="n">
        <x:f>AH9</x:f>
        <x:v>0</x:v>
      </x:c>
      <x:c r="AL9" s="162" t="n">
        <x:f>AI9</x:f>
        <x:v>9720000</x:v>
      </x:c>
      <x:c r="AM9" s="162" t="str">
        <x:f>AJ9</x:f>
        <x:v>KES</x:v>
      </x:c>
      <x:c r="AN9" s="162" t="n">
        <x:f>AK9</x:f>
        <x:v>0</x:v>
      </x:c>
    </x:row>
    <x:row r="10">
      <x:c r="A10" s="161" t="str">
        <x:v>Recoveries</x:v>
      </x:c>
      <x:c r="B10" s="146" t="n">
        <x:f>B9*'Assumptions'!B17*'Scenario_Control'!$B$8</x:f>
        <x:v>3888000</x:v>
      </x:c>
      <x:c r="C10" s="146" t="str">
        <x:v>KES</x:v>
      </x:c>
      <x:c r="D10" s="146"/>
      <x:c r="E10" s="162" t="n">
        <x:f>B10</x:f>
        <x:v>3888000</x:v>
      </x:c>
      <x:c r="F10" s="162" t="str">
        <x:f>C10</x:f>
        <x:v>KES</x:v>
      </x:c>
      <x:c r="G10" s="162" t="n">
        <x:f>D10</x:f>
        <x:v>0</x:v>
      </x:c>
      <x:c r="H10" s="162" t="n">
        <x:f>E10</x:f>
        <x:v>3888000</x:v>
      </x:c>
      <x:c r="I10" s="162" t="str">
        <x:f>F10</x:f>
        <x:v>KES</x:v>
      </x:c>
      <x:c r="J10" s="162" t="n">
        <x:f>G10</x:f>
        <x:v>0</x:v>
      </x:c>
      <x:c r="K10" s="162" t="n">
        <x:f>H10</x:f>
        <x:v>3888000</x:v>
      </x:c>
      <x:c r="L10" s="162" t="str">
        <x:f>I10</x:f>
        <x:v>KES</x:v>
      </x:c>
      <x:c r="M10" s="162" t="n">
        <x:f>J10</x:f>
        <x:v>0</x:v>
      </x:c>
      <x:c r="N10" s="162" t="n">
        <x:f>K10</x:f>
        <x:v>3888000</x:v>
      </x:c>
      <x:c r="O10" s="162" t="str">
        <x:f>L10</x:f>
        <x:v>KES</x:v>
      </x:c>
      <x:c r="P10" s="162" t="n">
        <x:f>M10</x:f>
        <x:v>0</x:v>
      </x:c>
      <x:c r="Q10" s="162" t="n">
        <x:f>N10</x:f>
        <x:v>3888000</x:v>
      </x:c>
      <x:c r="R10" s="162" t="str">
        <x:f>O10</x:f>
        <x:v>KES</x:v>
      </x:c>
      <x:c r="S10" s="162" t="n">
        <x:f>P10</x:f>
        <x:v>0</x:v>
      </x:c>
      <x:c r="T10" s="162" t="n">
        <x:f>Q10</x:f>
        <x:v>3888000</x:v>
      </x:c>
      <x:c r="U10" s="162" t="str">
        <x:f>R10</x:f>
        <x:v>KES</x:v>
      </x:c>
      <x:c r="V10" s="162" t="n">
        <x:f>S10</x:f>
        <x:v>0</x:v>
      </x:c>
      <x:c r="W10" s="162" t="n">
        <x:f>T10</x:f>
        <x:v>3888000</x:v>
      </x:c>
      <x:c r="X10" s="162" t="str">
        <x:f>U10</x:f>
        <x:v>KES</x:v>
      </x:c>
      <x:c r="Y10" s="162" t="n">
        <x:f>V10</x:f>
        <x:v>0</x:v>
      </x:c>
      <x:c r="Z10" s="162" t="n">
        <x:f>W10</x:f>
        <x:v>3888000</x:v>
      </x:c>
      <x:c r="AA10" s="162" t="str">
        <x:f>X10</x:f>
        <x:v>KES</x:v>
      </x:c>
      <x:c r="AB10" s="162" t="n">
        <x:f>Y10</x:f>
        <x:v>0</x:v>
      </x:c>
      <x:c r="AC10" s="162" t="n">
        <x:f>Z10</x:f>
        <x:v>3888000</x:v>
      </x:c>
      <x:c r="AD10" s="162" t="str">
        <x:f>AA10</x:f>
        <x:v>KES</x:v>
      </x:c>
      <x:c r="AE10" s="162" t="n">
        <x:f>AB10</x:f>
        <x:v>0</x:v>
      </x:c>
      <x:c r="AF10" s="162" t="n">
        <x:f>AC10</x:f>
        <x:v>3888000</x:v>
      </x:c>
      <x:c r="AG10" s="162" t="str">
        <x:f>AD10</x:f>
        <x:v>KES</x:v>
      </x:c>
      <x:c r="AH10" s="162" t="n">
        <x:f>AE10</x:f>
        <x:v>0</x:v>
      </x:c>
      <x:c r="AI10" s="162" t="n">
        <x:f>AF10</x:f>
        <x:v>3888000</x:v>
      </x:c>
      <x:c r="AJ10" s="162" t="str">
        <x:f>AG10</x:f>
        <x:v>KES</x:v>
      </x:c>
      <x:c r="AK10" s="162" t="n">
        <x:f>AH10</x:f>
        <x:v>0</x:v>
      </x:c>
      <x:c r="AL10" s="162" t="n">
        <x:f>AI10</x:f>
        <x:v>3888000</x:v>
      </x:c>
      <x:c r="AM10" s="162" t="str">
        <x:f>AJ10</x:f>
        <x:v>KES</x:v>
      </x:c>
      <x:c r="AN10" s="162" t="n">
        <x:f>AK10</x:f>
        <x:v>0</x:v>
      </x:c>
    </x:row>
    <x:row r="11">
      <x:c r="A11" s="161" t="str">
        <x:v>Closing balance</x:v>
      </x:c>
      <x:c r="B11" s="146" t="n">
        <x:f>B6+B5-B9+B10</x:f>
        <x:v>210168000</x:v>
      </x:c>
      <x:c r="C11" s="146" t="str">
        <x:v>KES</x:v>
      </x:c>
      <x:c r="D11" s="146"/>
      <x:c r="E11" s="162" t="n">
        <x:f>B11</x:f>
        <x:v>210168000</x:v>
      </x:c>
      <x:c r="F11" s="162" t="str">
        <x:f>C11</x:f>
        <x:v>KES</x:v>
      </x:c>
      <x:c r="G11" s="162" t="n">
        <x:f>D11</x:f>
        <x:v>0</x:v>
      </x:c>
      <x:c r="H11" s="162" t="n">
        <x:f>E11</x:f>
        <x:v>210168000</x:v>
      </x:c>
      <x:c r="I11" s="162" t="str">
        <x:f>F11</x:f>
        <x:v>KES</x:v>
      </x:c>
      <x:c r="J11" s="162" t="n">
        <x:f>G11</x:f>
        <x:v>0</x:v>
      </x:c>
      <x:c r="K11" s="162" t="n">
        <x:f>H11</x:f>
        <x:v>210168000</x:v>
      </x:c>
      <x:c r="L11" s="162" t="str">
        <x:f>I11</x:f>
        <x:v>KES</x:v>
      </x:c>
      <x:c r="M11" s="162" t="n">
        <x:f>J11</x:f>
        <x:v>0</x:v>
      </x:c>
      <x:c r="N11" s="162" t="n">
        <x:f>K11</x:f>
        <x:v>210168000</x:v>
      </x:c>
      <x:c r="O11" s="162" t="str">
        <x:f>L11</x:f>
        <x:v>KES</x:v>
      </x:c>
      <x:c r="P11" s="162" t="n">
        <x:f>M11</x:f>
        <x:v>0</x:v>
      </x:c>
      <x:c r="Q11" s="162" t="n">
        <x:f>N11</x:f>
        <x:v>210168000</x:v>
      </x:c>
      <x:c r="R11" s="162" t="str">
        <x:f>O11</x:f>
        <x:v>KES</x:v>
      </x:c>
      <x:c r="S11" s="162" t="n">
        <x:f>P11</x:f>
        <x:v>0</x:v>
      </x:c>
      <x:c r="T11" s="162" t="n">
        <x:f>Q11</x:f>
        <x:v>210168000</x:v>
      </x:c>
      <x:c r="U11" s="162" t="str">
        <x:f>R11</x:f>
        <x:v>KES</x:v>
      </x:c>
      <x:c r="V11" s="162" t="n">
        <x:f>S11</x:f>
        <x:v>0</x:v>
      </x:c>
      <x:c r="W11" s="162" t="n">
        <x:f>T11</x:f>
        <x:v>210168000</x:v>
      </x:c>
      <x:c r="X11" s="162" t="str">
        <x:f>U11</x:f>
        <x:v>KES</x:v>
      </x:c>
      <x:c r="Y11" s="162" t="n">
        <x:f>V11</x:f>
        <x:v>0</x:v>
      </x:c>
      <x:c r="Z11" s="162" t="n">
        <x:f>W11</x:f>
        <x:v>210168000</x:v>
      </x:c>
      <x:c r="AA11" s="162" t="str">
        <x:f>X11</x:f>
        <x:v>KES</x:v>
      </x:c>
      <x:c r="AB11" s="162" t="n">
        <x:f>Y11</x:f>
        <x:v>0</x:v>
      </x:c>
      <x:c r="AC11" s="162" t="n">
        <x:f>Z11</x:f>
        <x:v>210168000</x:v>
      </x:c>
      <x:c r="AD11" s="162" t="str">
        <x:f>AA11</x:f>
        <x:v>KES</x:v>
      </x:c>
      <x:c r="AE11" s="162" t="n">
        <x:f>AB11</x:f>
        <x:v>0</x:v>
      </x:c>
      <x:c r="AF11" s="162" t="n">
        <x:f>AC11</x:f>
        <x:v>210168000</x:v>
      </x:c>
      <x:c r="AG11" s="162" t="str">
        <x:f>AD11</x:f>
        <x:v>KES</x:v>
      </x:c>
      <x:c r="AH11" s="162" t="n">
        <x:f>AE11</x:f>
        <x:v>0</x:v>
      </x:c>
      <x:c r="AI11" s="162" t="n">
        <x:f>AF11</x:f>
        <x:v>210168000</x:v>
      </x:c>
      <x:c r="AJ11" s="162" t="str">
        <x:f>AG11</x:f>
        <x:v>KES</x:v>
      </x:c>
      <x:c r="AK11" s="162" t="n">
        <x:f>AH11</x:f>
        <x:v>0</x:v>
      </x:c>
      <x:c r="AL11" s="162" t="n">
        <x:f>AI11</x:f>
        <x:v>210168000</x:v>
      </x:c>
      <x:c r="AM11" s="162" t="str">
        <x:f>AJ11</x:f>
        <x:v>KES</x:v>
      </x:c>
      <x:c r="AN11" s="162" t="n">
        <x:f>AK11</x:f>
        <x:v>0</x:v>
      </x:c>
    </x:row>
    <x:row r="12">
      <x:c r="A12" s="161" t="str">
        <x:v>Net cash collections</x:v>
      </x:c>
      <x:c r="B12" s="146" t="n">
        <x:f>B7*B5+B10</x:f>
        <x:v>47088000</x:v>
      </x:c>
      <x:c r="C12" s="146" t="str">
        <x:v>KES</x:v>
      </x:c>
      <x:c r="D12" s="146"/>
      <x:c r="E12" s="162" t="n">
        <x:f>B12</x:f>
        <x:v>47088000</x:v>
      </x:c>
      <x:c r="F12" s="162" t="str">
        <x:f>C12</x:f>
        <x:v>KES</x:v>
      </x:c>
      <x:c r="G12" s="162" t="n">
        <x:f>D12</x:f>
        <x:v>0</x:v>
      </x:c>
      <x:c r="H12" s="162" t="n">
        <x:f>E12</x:f>
        <x:v>47088000</x:v>
      </x:c>
      <x:c r="I12" s="162" t="str">
        <x:f>F12</x:f>
        <x:v>KES</x:v>
      </x:c>
      <x:c r="J12" s="162" t="n">
        <x:f>G12</x:f>
        <x:v>0</x:v>
      </x:c>
      <x:c r="K12" s="162" t="n">
        <x:f>H12</x:f>
        <x:v>47088000</x:v>
      </x:c>
      <x:c r="L12" s="162" t="str">
        <x:f>I12</x:f>
        <x:v>KES</x:v>
      </x:c>
      <x:c r="M12" s="162" t="n">
        <x:f>J12</x:f>
        <x:v>0</x:v>
      </x:c>
      <x:c r="N12" s="162" t="n">
        <x:f>K12</x:f>
        <x:v>47088000</x:v>
      </x:c>
      <x:c r="O12" s="162" t="str">
        <x:f>L12</x:f>
        <x:v>KES</x:v>
      </x:c>
      <x:c r="P12" s="162" t="n">
        <x:f>M12</x:f>
        <x:v>0</x:v>
      </x:c>
      <x:c r="Q12" s="162" t="n">
        <x:f>N12</x:f>
        <x:v>47088000</x:v>
      </x:c>
      <x:c r="R12" s="162" t="str">
        <x:f>O12</x:f>
        <x:v>KES</x:v>
      </x:c>
      <x:c r="S12" s="162" t="n">
        <x:f>P12</x:f>
        <x:v>0</x:v>
      </x:c>
      <x:c r="T12" s="162" t="n">
        <x:f>Q12</x:f>
        <x:v>47088000</x:v>
      </x:c>
      <x:c r="U12" s="162" t="str">
        <x:f>R12</x:f>
        <x:v>KES</x:v>
      </x:c>
      <x:c r="V12" s="162" t="n">
        <x:f>S12</x:f>
        <x:v>0</x:v>
      </x:c>
      <x:c r="W12" s="162" t="n">
        <x:f>T12</x:f>
        <x:v>47088000</x:v>
      </x:c>
      <x:c r="X12" s="162" t="str">
        <x:f>U12</x:f>
        <x:v>KES</x:v>
      </x:c>
      <x:c r="Y12" s="162" t="n">
        <x:f>V12</x:f>
        <x:v>0</x:v>
      </x:c>
      <x:c r="Z12" s="162" t="n">
        <x:f>W12</x:f>
        <x:v>47088000</x:v>
      </x:c>
      <x:c r="AA12" s="162" t="str">
        <x:f>X12</x:f>
        <x:v>KES</x:v>
      </x:c>
      <x:c r="AB12" s="162" t="n">
        <x:f>Y12</x:f>
        <x:v>0</x:v>
      </x:c>
      <x:c r="AC12" s="162" t="n">
        <x:f>Z12</x:f>
        <x:v>47088000</x:v>
      </x:c>
      <x:c r="AD12" s="162" t="str">
        <x:f>AA12</x:f>
        <x:v>KES</x:v>
      </x:c>
      <x:c r="AE12" s="162" t="n">
        <x:f>AB12</x:f>
        <x:v>0</x:v>
      </x:c>
      <x:c r="AF12" s="162" t="n">
        <x:f>AC12</x:f>
        <x:v>47088000</x:v>
      </x:c>
      <x:c r="AG12" s="162" t="str">
        <x:f>AD12</x:f>
        <x:v>KES</x:v>
      </x:c>
      <x:c r="AH12" s="162" t="n">
        <x:f>AE12</x:f>
        <x:v>0</x:v>
      </x:c>
      <x:c r="AI12" s="162" t="n">
        <x:f>AF12</x:f>
        <x:v>47088000</x:v>
      </x:c>
      <x:c r="AJ12" s="162" t="str">
        <x:f>AG12</x:f>
        <x:v>KES</x:v>
      </x:c>
      <x:c r="AK12" s="162" t="n">
        <x:f>AH12</x:f>
        <x:v>0</x:v>
      </x:c>
      <x:c r="AL12" s="162" t="n">
        <x:f>AI12</x:f>
        <x:v>47088000</x:v>
      </x:c>
      <x:c r="AM12" s="162" t="str">
        <x:f>AJ12</x:f>
        <x:v>KES</x:v>
      </x:c>
      <x:c r="AN12" s="162" t="n">
        <x:f>AK12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1" ht="28" customHeight="1">
      <x:c r="A1" s="144" t="str">
        <x:v>Revolving Credit Cohort Schedule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  <x:c r="AN1" s="146"/>
    </x:row>
    <x:row r="2">
      <x:c r="A2" s="145" t="str">
        <x:v>Monthly cohort cash mechanics; base case inputs are illustrative where not term-sheet backed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  <x:c r="AN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  <x:c r="AN3" s="146"/>
    </x:row>
    <x:row r="4">
      <x:c r="A4" s="150" t="str">
        <x:v>Metric</x:v>
      </x:c>
      <x:c r="B4" s="150" t="str">
        <x:v>Base rate</x:v>
      </x:c>
      <x:c r="C4" s="150" t="str">
        <x:v>Unit</x:v>
      </x:c>
      <x:c r="D4" s="150" t="str">
        <x:v>Scenario rate</x:v>
      </x:c>
      <x:c r="E4" s="150" t="str">
        <x:v>M01</x:v>
      </x:c>
      <x:c r="F4" s="150" t="str">
        <x:v>M02</x:v>
      </x:c>
      <x:c r="G4" s="150" t="str">
        <x:v>M03</x:v>
      </x:c>
      <x:c r="H4" s="150" t="str">
        <x:v>M04</x:v>
      </x:c>
      <x:c r="I4" s="150" t="str">
        <x:v>M05</x:v>
      </x:c>
      <x:c r="J4" s="150" t="str">
        <x:v>M06</x:v>
      </x:c>
      <x:c r="K4" s="150" t="str">
        <x:v>M07</x:v>
      </x:c>
      <x:c r="L4" s="150" t="str">
        <x:v>M08</x:v>
      </x:c>
      <x:c r="M4" s="150" t="str">
        <x:v>M09</x:v>
      </x:c>
      <x:c r="N4" s="150" t="str">
        <x:v>M10</x:v>
      </x:c>
      <x:c r="O4" s="150" t="str">
        <x:v>M11</x:v>
      </x:c>
      <x:c r="P4" s="150" t="str">
        <x:v>M12</x:v>
      </x:c>
      <x:c r="Q4" s="150" t="str">
        <x:v>M13</x:v>
      </x:c>
      <x:c r="R4" s="150" t="str">
        <x:v>M14</x:v>
      </x:c>
      <x:c r="S4" s="150" t="str">
        <x:v>M15</x:v>
      </x:c>
      <x:c r="T4" s="150" t="str">
        <x:v>M16</x:v>
      </x:c>
      <x:c r="U4" s="150" t="str">
        <x:v>M17</x:v>
      </x:c>
      <x:c r="V4" s="150" t="str">
        <x:v>M18</x:v>
      </x:c>
      <x:c r="W4" s="150" t="str">
        <x:v>M19</x:v>
      </x:c>
      <x:c r="X4" s="150" t="str">
        <x:v>M20</x:v>
      </x:c>
      <x:c r="Y4" s="150" t="str">
        <x:v>M21</x:v>
      </x:c>
      <x:c r="Z4" s="150" t="str">
        <x:v>M22</x:v>
      </x:c>
      <x:c r="AA4" s="150" t="str">
        <x:v>M23</x:v>
      </x:c>
      <x:c r="AB4" s="150" t="str">
        <x:v>M24</x:v>
      </x:c>
      <x:c r="AC4" s="150" t="str">
        <x:v>M25</x:v>
      </x:c>
      <x:c r="AD4" s="150" t="str">
        <x:v>M26</x:v>
      </x:c>
      <x:c r="AE4" s="150" t="str">
        <x:v>M27</x:v>
      </x:c>
      <x:c r="AF4" s="150" t="str">
        <x:v>M28</x:v>
      </x:c>
      <x:c r="AG4" s="150" t="str">
        <x:v>M29</x:v>
      </x:c>
      <x:c r="AH4" s="150" t="str">
        <x:v>M30</x:v>
      </x:c>
      <x:c r="AI4" s="150" t="str">
        <x:v>M31</x:v>
      </x:c>
      <x:c r="AJ4" s="150" t="str">
        <x:v>M32</x:v>
      </x:c>
      <x:c r="AK4" s="150" t="str">
        <x:v>M33</x:v>
      </x:c>
      <x:c r="AL4" s="150" t="str">
        <x:v>M34</x:v>
      </x:c>
      <x:c r="AM4" s="150" t="str">
        <x:v>M35</x:v>
      </x:c>
      <x:c r="AN4" s="146" t="str">
        <x:v>M36</x:v>
      </x:c>
    </x:row>
    <x:row r="5">
      <x:c r="A5" s="161" t="str">
        <x:v>Originations</x:v>
      </x:c>
      <x:c r="B5" s="146" t="n">
        <x:f>'Origination_Drivers'!D16</x:f>
        <x:v>135000000</x:v>
      </x:c>
      <x:c r="C5" s="146" t="str">
        <x:v>KES</x:v>
      </x:c>
      <x:c r="D5" s="146"/>
      <x:c r="E5" s="162" t="n">
        <x:f>B5</x:f>
        <x:v>135000000</x:v>
      </x:c>
      <x:c r="F5" s="162" t="str">
        <x:f>C5</x:f>
        <x:v>KES</x:v>
      </x:c>
      <x:c r="G5" s="162" t="n">
        <x:f>D5</x:f>
        <x:v>0</x:v>
      </x:c>
      <x:c r="H5" s="162" t="n">
        <x:f>E5</x:f>
        <x:v>135000000</x:v>
      </x:c>
      <x:c r="I5" s="162" t="str">
        <x:f>F5</x:f>
        <x:v>KES</x:v>
      </x:c>
      <x:c r="J5" s="162" t="n">
        <x:f>G5</x:f>
        <x:v>0</x:v>
      </x:c>
      <x:c r="K5" s="162" t="n">
        <x:f>H5</x:f>
        <x:v>135000000</x:v>
      </x:c>
      <x:c r="L5" s="162" t="str">
        <x:f>I5</x:f>
        <x:v>KES</x:v>
      </x:c>
      <x:c r="M5" s="162" t="n">
        <x:f>J5</x:f>
        <x:v>0</x:v>
      </x:c>
      <x:c r="N5" s="162" t="n">
        <x:f>K5</x:f>
        <x:v>135000000</x:v>
      </x:c>
      <x:c r="O5" s="162" t="str">
        <x:f>L5</x:f>
        <x:v>KES</x:v>
      </x:c>
      <x:c r="P5" s="162" t="n">
        <x:f>M5</x:f>
        <x:v>0</x:v>
      </x:c>
      <x:c r="Q5" s="162" t="n">
        <x:f>N5</x:f>
        <x:v>135000000</x:v>
      </x:c>
      <x:c r="R5" s="162" t="str">
        <x:f>O5</x:f>
        <x:v>KES</x:v>
      </x:c>
      <x:c r="S5" s="162" t="n">
        <x:f>P5</x:f>
        <x:v>0</x:v>
      </x:c>
      <x:c r="T5" s="162" t="n">
        <x:f>Q5</x:f>
        <x:v>135000000</x:v>
      </x:c>
      <x:c r="U5" s="162" t="str">
        <x:f>R5</x:f>
        <x:v>KES</x:v>
      </x:c>
      <x:c r="V5" s="162" t="n">
        <x:f>S5</x:f>
        <x:v>0</x:v>
      </x:c>
      <x:c r="W5" s="162" t="n">
        <x:f>T5</x:f>
        <x:v>135000000</x:v>
      </x:c>
      <x:c r="X5" s="162" t="str">
        <x:f>U5</x:f>
        <x:v>KES</x:v>
      </x:c>
      <x:c r="Y5" s="162" t="n">
        <x:f>V5</x:f>
        <x:v>0</x:v>
      </x:c>
      <x:c r="Z5" s="162" t="n">
        <x:f>W5</x:f>
        <x:v>135000000</x:v>
      </x:c>
      <x:c r="AA5" s="162" t="str">
        <x:f>X5</x:f>
        <x:v>KES</x:v>
      </x:c>
      <x:c r="AB5" s="162" t="n">
        <x:f>Y5</x:f>
        <x:v>0</x:v>
      </x:c>
      <x:c r="AC5" s="162" t="n">
        <x:f>Z5</x:f>
        <x:v>135000000</x:v>
      </x:c>
      <x:c r="AD5" s="162" t="str">
        <x:f>AA5</x:f>
        <x:v>KES</x:v>
      </x:c>
      <x:c r="AE5" s="162" t="n">
        <x:f>AB5</x:f>
        <x:v>0</x:v>
      </x:c>
      <x:c r="AF5" s="162" t="n">
        <x:f>AC5</x:f>
        <x:v>135000000</x:v>
      </x:c>
      <x:c r="AG5" s="162" t="str">
        <x:f>AD5</x:f>
        <x:v>KES</x:v>
      </x:c>
      <x:c r="AH5" s="162" t="n">
        <x:f>AE5</x:f>
        <x:v>0</x:v>
      </x:c>
      <x:c r="AI5" s="162" t="n">
        <x:f>AF5</x:f>
        <x:v>135000000</x:v>
      </x:c>
      <x:c r="AJ5" s="162" t="str">
        <x:f>AG5</x:f>
        <x:v>KES</x:v>
      </x:c>
      <x:c r="AK5" s="162" t="n">
        <x:f>AH5</x:f>
        <x:v>0</x:v>
      </x:c>
      <x:c r="AL5" s="162" t="n">
        <x:f>AI5</x:f>
        <x:v>135000000</x:v>
      </x:c>
      <x:c r="AM5" s="162" t="str">
        <x:f>AJ5</x:f>
        <x:v>KES</x:v>
      </x:c>
      <x:c r="AN5" s="162" t="n">
        <x:f>AK5</x:f>
        <x:v>0</x:v>
      </x:c>
    </x:row>
    <x:row r="6">
      <x:c r="A6" s="161" t="str">
        <x:v>Opening balance</x:v>
      </x:c>
      <x:c r="B6" s="146" t="n">
        <x:v>0</x:v>
      </x:c>
      <x:c r="C6" s="146" t="str">
        <x:v>KES</x:v>
      </x:c>
      <x:c r="D6" s="146"/>
      <x:c r="E6" s="162" t="n">
        <x:f>B6</x:f>
        <x:v>0</x:v>
      </x:c>
      <x:c r="F6" s="162" t="str">
        <x:f>C6</x:f>
        <x:v>KES</x:v>
      </x:c>
      <x:c r="G6" s="162" t="n">
        <x:f>D6</x:f>
        <x:v>0</x:v>
      </x:c>
      <x:c r="H6" s="162" t="n">
        <x:f>E6</x:f>
        <x:v>0</x:v>
      </x:c>
      <x:c r="I6" s="162" t="str">
        <x:f>F6</x:f>
        <x:v>KES</x:v>
      </x:c>
      <x:c r="J6" s="162" t="n">
        <x:f>G6</x:f>
        <x:v>0</x:v>
      </x:c>
      <x:c r="K6" s="162" t="n">
        <x:f>H6</x:f>
        <x:v>0</x:v>
      </x:c>
      <x:c r="L6" s="162" t="str">
        <x:f>I6</x:f>
        <x:v>KES</x:v>
      </x:c>
      <x:c r="M6" s="162" t="n">
        <x:f>J6</x:f>
        <x:v>0</x:v>
      </x:c>
      <x:c r="N6" s="162" t="n">
        <x:f>K6</x:f>
        <x:v>0</x:v>
      </x:c>
      <x:c r="O6" s="162" t="str">
        <x:f>L6</x:f>
        <x:v>KES</x:v>
      </x:c>
      <x:c r="P6" s="162" t="n">
        <x:f>M6</x:f>
        <x:v>0</x:v>
      </x:c>
      <x:c r="Q6" s="162" t="n">
        <x:f>N6</x:f>
        <x:v>0</x:v>
      </x:c>
      <x:c r="R6" s="162" t="str">
        <x:f>O6</x:f>
        <x:v>KES</x:v>
      </x:c>
      <x:c r="S6" s="162" t="n">
        <x:f>P6</x:f>
        <x:v>0</x:v>
      </x:c>
      <x:c r="T6" s="162" t="n">
        <x:f>Q6</x:f>
        <x:v>0</x:v>
      </x:c>
      <x:c r="U6" s="162" t="str">
        <x:f>R6</x:f>
        <x:v>KES</x:v>
      </x:c>
      <x:c r="V6" s="162" t="n">
        <x:f>S6</x:f>
        <x:v>0</x:v>
      </x:c>
      <x:c r="W6" s="162" t="n">
        <x:f>T6</x:f>
        <x:v>0</x:v>
      </x:c>
      <x:c r="X6" s="162" t="str">
        <x:f>U6</x:f>
        <x:v>KES</x:v>
      </x:c>
      <x:c r="Y6" s="162" t="n">
        <x:f>V6</x:f>
        <x:v>0</x:v>
      </x:c>
      <x:c r="Z6" s="162" t="n">
        <x:f>W6</x:f>
        <x:v>0</x:v>
      </x:c>
      <x:c r="AA6" s="162" t="str">
        <x:f>X6</x:f>
        <x:v>KES</x:v>
      </x:c>
      <x:c r="AB6" s="162" t="n">
        <x:f>Y6</x:f>
        <x:v>0</x:v>
      </x:c>
      <x:c r="AC6" s="162" t="n">
        <x:f>Z6</x:f>
        <x:v>0</x:v>
      </x:c>
      <x:c r="AD6" s="162" t="str">
        <x:f>AA6</x:f>
        <x:v>KES</x:v>
      </x:c>
      <x:c r="AE6" s="162" t="n">
        <x:f>AB6</x:f>
        <x:v>0</x:v>
      </x:c>
      <x:c r="AF6" s="162" t="n">
        <x:f>AC6</x:f>
        <x:v>0</x:v>
      </x:c>
      <x:c r="AG6" s="162" t="str">
        <x:f>AD6</x:f>
        <x:v>KES</x:v>
      </x:c>
      <x:c r="AH6" s="162" t="n">
        <x:f>AE6</x:f>
        <x:v>0</x:v>
      </x:c>
      <x:c r="AI6" s="162" t="n">
        <x:f>AF6</x:f>
        <x:v>0</x:v>
      </x:c>
      <x:c r="AJ6" s="162" t="str">
        <x:f>AG6</x:f>
        <x:v>KES</x:v>
      </x:c>
      <x:c r="AK6" s="162" t="n">
        <x:f>AH6</x:f>
        <x:v>0</x:v>
      </x:c>
      <x:c r="AL6" s="162" t="n">
        <x:f>AI6</x:f>
        <x:v>0</x:v>
      </x:c>
      <x:c r="AM6" s="162" t="str">
        <x:f>AJ6</x:f>
        <x:v>KES</x:v>
      </x:c>
      <x:c r="AN6" s="162" t="n">
        <x:f>AK6</x:f>
        <x:v>0</x:v>
      </x:c>
    </x:row>
    <x:row r="7">
      <x:c r="A7" s="161" t="str">
        <x:v>Scheduled collections</x:v>
      </x:c>
      <x:c r="B7" s="146" t="n">
        <x:v>0.2</x:v>
      </x:c>
      <x:c r="C7" s="146" t="str">
        <x:v>share</x:v>
      </x:c>
      <x:c r="D7" s="146"/>
      <x:c r="E7" s="162" t="n">
        <x:f>B7</x:f>
        <x:v>0.2</x:v>
      </x:c>
      <x:c r="F7" s="162" t="str">
        <x:f>C7</x:f>
        <x:v>share</x:v>
      </x:c>
      <x:c r="G7" s="162" t="n">
        <x:f>D7</x:f>
        <x:v>0</x:v>
      </x:c>
      <x:c r="H7" s="162" t="n">
        <x:f>E7</x:f>
        <x:v>0.2</x:v>
      </x:c>
      <x:c r="I7" s="162" t="str">
        <x:f>F7</x:f>
        <x:v>share</x:v>
      </x:c>
      <x:c r="J7" s="162" t="n">
        <x:f>G7</x:f>
        <x:v>0</x:v>
      </x:c>
      <x:c r="K7" s="162" t="n">
        <x:f>H7</x:f>
        <x:v>0.2</x:v>
      </x:c>
      <x:c r="L7" s="162" t="str">
        <x:f>I7</x:f>
        <x:v>share</x:v>
      </x:c>
      <x:c r="M7" s="162" t="n">
        <x:f>J7</x:f>
        <x:v>0</x:v>
      </x:c>
      <x:c r="N7" s="162" t="n">
        <x:f>K7</x:f>
        <x:v>0.2</x:v>
      </x:c>
      <x:c r="O7" s="162" t="str">
        <x:f>L7</x:f>
        <x:v>share</x:v>
      </x:c>
      <x:c r="P7" s="162" t="n">
        <x:f>M7</x:f>
        <x:v>0</x:v>
      </x:c>
      <x:c r="Q7" s="162" t="n">
        <x:f>N7</x:f>
        <x:v>0.2</x:v>
      </x:c>
      <x:c r="R7" s="162" t="str">
        <x:f>O7</x:f>
        <x:v>share</x:v>
      </x:c>
      <x:c r="S7" s="162" t="n">
        <x:f>P7</x:f>
        <x:v>0</x:v>
      </x:c>
      <x:c r="T7" s="162" t="n">
        <x:f>Q7</x:f>
        <x:v>0.2</x:v>
      </x:c>
      <x:c r="U7" s="162" t="str">
        <x:f>R7</x:f>
        <x:v>share</x:v>
      </x:c>
      <x:c r="V7" s="162" t="n">
        <x:f>S7</x:f>
        <x:v>0</x:v>
      </x:c>
      <x:c r="W7" s="162" t="n">
        <x:f>T7</x:f>
        <x:v>0.2</x:v>
      </x:c>
      <x:c r="X7" s="162" t="str">
        <x:f>U7</x:f>
        <x:v>share</x:v>
      </x:c>
      <x:c r="Y7" s="162" t="n">
        <x:f>V7</x:f>
        <x:v>0</x:v>
      </x:c>
      <x:c r="Z7" s="162" t="n">
        <x:f>W7</x:f>
        <x:v>0.2</x:v>
      </x:c>
      <x:c r="AA7" s="162" t="str">
        <x:f>X7</x:f>
        <x:v>share</x:v>
      </x:c>
      <x:c r="AB7" s="162" t="n">
        <x:f>Y7</x:f>
        <x:v>0</x:v>
      </x:c>
      <x:c r="AC7" s="162" t="n">
        <x:f>Z7</x:f>
        <x:v>0.2</x:v>
      </x:c>
      <x:c r="AD7" s="162" t="str">
        <x:f>AA7</x:f>
        <x:v>share</x:v>
      </x:c>
      <x:c r="AE7" s="162" t="n">
        <x:f>AB7</x:f>
        <x:v>0</x:v>
      </x:c>
      <x:c r="AF7" s="162" t="n">
        <x:f>AC7</x:f>
        <x:v>0.2</x:v>
      </x:c>
      <x:c r="AG7" s="162" t="str">
        <x:f>AD7</x:f>
        <x:v>share</x:v>
      </x:c>
      <x:c r="AH7" s="162" t="n">
        <x:f>AE7</x:f>
        <x:v>0</x:v>
      </x:c>
      <x:c r="AI7" s="162" t="n">
        <x:f>AF7</x:f>
        <x:v>0.2</x:v>
      </x:c>
      <x:c r="AJ7" s="162" t="str">
        <x:f>AG7</x:f>
        <x:v>share</x:v>
      </x:c>
      <x:c r="AK7" s="162" t="n">
        <x:f>AH7</x:f>
        <x:v>0</x:v>
      </x:c>
      <x:c r="AL7" s="162" t="n">
        <x:f>AI7</x:f>
        <x:v>0.2</x:v>
      </x:c>
      <x:c r="AM7" s="162" t="str">
        <x:f>AJ7</x:f>
        <x:v>share</x:v>
      </x:c>
      <x:c r="AN7" s="162" t="n">
        <x:f>AK7</x:f>
        <x:v>0</x:v>
      </x:c>
    </x:row>
    <x:row r="8">
      <x:c r="A8" s="161" t="str">
        <x:v>Default rate</x:v>
      </x:c>
      <x:c r="B8" s="146" t="n">
        <x:v>0.055</x:v>
      </x:c>
      <x:c r="C8" s="146" t="str">
        <x:v>percent</x:v>
      </x:c>
      <x:c r="D8" s="146"/>
      <x:c r="E8" s="163" t="n">
        <x:f>B8</x:f>
        <x:v>0.055</x:v>
      </x:c>
      <x:c r="F8" s="163" t="str">
        <x:f>C8</x:f>
        <x:v>percent</x:v>
      </x:c>
      <x:c r="G8" s="163" t="n">
        <x:f>D8</x:f>
        <x:v>0</x:v>
      </x:c>
      <x:c r="H8" s="163" t="n">
        <x:f>E8</x:f>
        <x:v>0.055</x:v>
      </x:c>
      <x:c r="I8" s="163" t="str">
        <x:f>F8</x:f>
        <x:v>percent</x:v>
      </x:c>
      <x:c r="J8" s="163" t="n">
        <x:f>G8</x:f>
        <x:v>0</x:v>
      </x:c>
      <x:c r="K8" s="163" t="n">
        <x:f>H8</x:f>
        <x:v>0.055</x:v>
      </x:c>
      <x:c r="L8" s="163" t="str">
        <x:f>I8</x:f>
        <x:v>percent</x:v>
      </x:c>
      <x:c r="M8" s="163" t="n">
        <x:f>J8</x:f>
        <x:v>0</x:v>
      </x:c>
      <x:c r="N8" s="163" t="n">
        <x:f>K8</x:f>
        <x:v>0.055</x:v>
      </x:c>
      <x:c r="O8" s="163" t="str">
        <x:f>L8</x:f>
        <x:v>percent</x:v>
      </x:c>
      <x:c r="P8" s="163" t="n">
        <x:f>M8</x:f>
        <x:v>0</x:v>
      </x:c>
      <x:c r="Q8" s="163" t="n">
        <x:f>N8</x:f>
        <x:v>0.055</x:v>
      </x:c>
      <x:c r="R8" s="163" t="str">
        <x:f>O8</x:f>
        <x:v>percent</x:v>
      </x:c>
      <x:c r="S8" s="163" t="n">
        <x:f>P8</x:f>
        <x:v>0</x:v>
      </x:c>
      <x:c r="T8" s="163" t="n">
        <x:f>Q8</x:f>
        <x:v>0.055</x:v>
      </x:c>
      <x:c r="U8" s="163" t="str">
        <x:f>R8</x:f>
        <x:v>percent</x:v>
      </x:c>
      <x:c r="V8" s="163" t="n">
        <x:f>S8</x:f>
        <x:v>0</x:v>
      </x:c>
      <x:c r="W8" s="163" t="n">
        <x:f>T8</x:f>
        <x:v>0.055</x:v>
      </x:c>
      <x:c r="X8" s="163" t="str">
        <x:f>U8</x:f>
        <x:v>percent</x:v>
      </x:c>
      <x:c r="Y8" s="163" t="n">
        <x:f>V8</x:f>
        <x:v>0</x:v>
      </x:c>
      <x:c r="Z8" s="163" t="n">
        <x:f>W8</x:f>
        <x:v>0.055</x:v>
      </x:c>
      <x:c r="AA8" s="163" t="str">
        <x:f>X8</x:f>
        <x:v>percent</x:v>
      </x:c>
      <x:c r="AB8" s="163" t="n">
        <x:f>Y8</x:f>
        <x:v>0</x:v>
      </x:c>
      <x:c r="AC8" s="163" t="n">
        <x:f>Z8</x:f>
        <x:v>0.055</x:v>
      </x:c>
      <x:c r="AD8" s="163" t="str">
        <x:f>AA8</x:f>
        <x:v>percent</x:v>
      </x:c>
      <x:c r="AE8" s="163" t="n">
        <x:f>AB8</x:f>
        <x:v>0</x:v>
      </x:c>
      <x:c r="AF8" s="163" t="n">
        <x:f>AC8</x:f>
        <x:v>0.055</x:v>
      </x:c>
      <x:c r="AG8" s="163" t="str">
        <x:f>AD8</x:f>
        <x:v>percent</x:v>
      </x:c>
      <x:c r="AH8" s="163" t="n">
        <x:f>AE8</x:f>
        <x:v>0</x:v>
      </x:c>
      <x:c r="AI8" s="163" t="n">
        <x:f>AF8</x:f>
        <x:v>0.055</x:v>
      </x:c>
      <x:c r="AJ8" s="163" t="str">
        <x:f>AG8</x:f>
        <x:v>percent</x:v>
      </x:c>
      <x:c r="AK8" s="163" t="n">
        <x:f>AH8</x:f>
        <x:v>0</x:v>
      </x:c>
      <x:c r="AL8" s="163" t="n">
        <x:f>AI8</x:f>
        <x:v>0.055</x:v>
      </x:c>
      <x:c r="AM8" s="163" t="str">
        <x:f>AJ8</x:f>
        <x:v>percent</x:v>
      </x:c>
      <x:c r="AN8" s="163" t="n">
        <x:f>AK8</x:f>
        <x:v>0</x:v>
      </x:c>
    </x:row>
    <x:row r="9">
      <x:c r="A9" s="161" t="str">
        <x:v>Defaults</x:v>
      </x:c>
      <x:c r="B9" s="146" t="n">
        <x:f>B5*B8</x:f>
        <x:v>7425000</x:v>
      </x:c>
      <x:c r="C9" s="146" t="str">
        <x:v>KES</x:v>
      </x:c>
      <x:c r="D9" s="146"/>
      <x:c r="E9" s="162" t="n">
        <x:f>B9</x:f>
        <x:v>7425000</x:v>
      </x:c>
      <x:c r="F9" s="162" t="str">
        <x:f>C9</x:f>
        <x:v>KES</x:v>
      </x:c>
      <x:c r="G9" s="162" t="n">
        <x:f>D9</x:f>
        <x:v>0</x:v>
      </x:c>
      <x:c r="H9" s="162" t="n">
        <x:f>E9</x:f>
        <x:v>7425000</x:v>
      </x:c>
      <x:c r="I9" s="162" t="str">
        <x:f>F9</x:f>
        <x:v>KES</x:v>
      </x:c>
      <x:c r="J9" s="162" t="n">
        <x:f>G9</x:f>
        <x:v>0</x:v>
      </x:c>
      <x:c r="K9" s="162" t="n">
        <x:f>H9</x:f>
        <x:v>7425000</x:v>
      </x:c>
      <x:c r="L9" s="162" t="str">
        <x:f>I9</x:f>
        <x:v>KES</x:v>
      </x:c>
      <x:c r="M9" s="162" t="n">
        <x:f>J9</x:f>
        <x:v>0</x:v>
      </x:c>
      <x:c r="N9" s="162" t="n">
        <x:f>K9</x:f>
        <x:v>7425000</x:v>
      </x:c>
      <x:c r="O9" s="162" t="str">
        <x:f>L9</x:f>
        <x:v>KES</x:v>
      </x:c>
      <x:c r="P9" s="162" t="n">
        <x:f>M9</x:f>
        <x:v>0</x:v>
      </x:c>
      <x:c r="Q9" s="162" t="n">
        <x:f>N9</x:f>
        <x:v>7425000</x:v>
      </x:c>
      <x:c r="R9" s="162" t="str">
        <x:f>O9</x:f>
        <x:v>KES</x:v>
      </x:c>
      <x:c r="S9" s="162" t="n">
        <x:f>P9</x:f>
        <x:v>0</x:v>
      </x:c>
      <x:c r="T9" s="162" t="n">
        <x:f>Q9</x:f>
        <x:v>7425000</x:v>
      </x:c>
      <x:c r="U9" s="162" t="str">
        <x:f>R9</x:f>
        <x:v>KES</x:v>
      </x:c>
      <x:c r="V9" s="162" t="n">
        <x:f>S9</x:f>
        <x:v>0</x:v>
      </x:c>
      <x:c r="W9" s="162" t="n">
        <x:f>T9</x:f>
        <x:v>7425000</x:v>
      </x:c>
      <x:c r="X9" s="162" t="str">
        <x:f>U9</x:f>
        <x:v>KES</x:v>
      </x:c>
      <x:c r="Y9" s="162" t="n">
        <x:f>V9</x:f>
        <x:v>0</x:v>
      </x:c>
      <x:c r="Z9" s="162" t="n">
        <x:f>W9</x:f>
        <x:v>7425000</x:v>
      </x:c>
      <x:c r="AA9" s="162" t="str">
        <x:f>X9</x:f>
        <x:v>KES</x:v>
      </x:c>
      <x:c r="AB9" s="162" t="n">
        <x:f>Y9</x:f>
        <x:v>0</x:v>
      </x:c>
      <x:c r="AC9" s="162" t="n">
        <x:f>Z9</x:f>
        <x:v>7425000</x:v>
      </x:c>
      <x:c r="AD9" s="162" t="str">
        <x:f>AA9</x:f>
        <x:v>KES</x:v>
      </x:c>
      <x:c r="AE9" s="162" t="n">
        <x:f>AB9</x:f>
        <x:v>0</x:v>
      </x:c>
      <x:c r="AF9" s="162" t="n">
        <x:f>AC9</x:f>
        <x:v>7425000</x:v>
      </x:c>
      <x:c r="AG9" s="162" t="str">
        <x:f>AD9</x:f>
        <x:v>KES</x:v>
      </x:c>
      <x:c r="AH9" s="162" t="n">
        <x:f>AE9</x:f>
        <x:v>0</x:v>
      </x:c>
      <x:c r="AI9" s="162" t="n">
        <x:f>AF9</x:f>
        <x:v>7425000</x:v>
      </x:c>
      <x:c r="AJ9" s="162" t="str">
        <x:f>AG9</x:f>
        <x:v>KES</x:v>
      </x:c>
      <x:c r="AK9" s="162" t="n">
        <x:f>AH9</x:f>
        <x:v>0</x:v>
      </x:c>
      <x:c r="AL9" s="162" t="n">
        <x:f>AI9</x:f>
        <x:v>7425000</x:v>
      </x:c>
      <x:c r="AM9" s="162" t="str">
        <x:f>AJ9</x:f>
        <x:v>KES</x:v>
      </x:c>
      <x:c r="AN9" s="162" t="n">
        <x:f>AK9</x:f>
        <x:v>0</x:v>
      </x:c>
    </x:row>
    <x:row r="10">
      <x:c r="A10" s="161" t="str">
        <x:v>Recoveries</x:v>
      </x:c>
      <x:c r="B10" s="146" t="n">
        <x:f>B9*'Assumptions'!B17*'Scenario_Control'!$B$8</x:f>
        <x:v>2970000</x:v>
      </x:c>
      <x:c r="C10" s="146" t="str">
        <x:v>KES</x:v>
      </x:c>
      <x:c r="D10" s="146"/>
      <x:c r="E10" s="162" t="n">
        <x:f>B10</x:f>
        <x:v>2970000</x:v>
      </x:c>
      <x:c r="F10" s="162" t="str">
        <x:f>C10</x:f>
        <x:v>KES</x:v>
      </x:c>
      <x:c r="G10" s="162" t="n">
        <x:f>D10</x:f>
        <x:v>0</x:v>
      </x:c>
      <x:c r="H10" s="162" t="n">
        <x:f>E10</x:f>
        <x:v>2970000</x:v>
      </x:c>
      <x:c r="I10" s="162" t="str">
        <x:f>F10</x:f>
        <x:v>KES</x:v>
      </x:c>
      <x:c r="J10" s="162" t="n">
        <x:f>G10</x:f>
        <x:v>0</x:v>
      </x:c>
      <x:c r="K10" s="162" t="n">
        <x:f>H10</x:f>
        <x:v>2970000</x:v>
      </x:c>
      <x:c r="L10" s="162" t="str">
        <x:f>I10</x:f>
        <x:v>KES</x:v>
      </x:c>
      <x:c r="M10" s="162" t="n">
        <x:f>J10</x:f>
        <x:v>0</x:v>
      </x:c>
      <x:c r="N10" s="162" t="n">
        <x:f>K10</x:f>
        <x:v>2970000</x:v>
      </x:c>
      <x:c r="O10" s="162" t="str">
        <x:f>L10</x:f>
        <x:v>KES</x:v>
      </x:c>
      <x:c r="P10" s="162" t="n">
        <x:f>M10</x:f>
        <x:v>0</x:v>
      </x:c>
      <x:c r="Q10" s="162" t="n">
        <x:f>N10</x:f>
        <x:v>2970000</x:v>
      </x:c>
      <x:c r="R10" s="162" t="str">
        <x:f>O10</x:f>
        <x:v>KES</x:v>
      </x:c>
      <x:c r="S10" s="162" t="n">
        <x:f>P10</x:f>
        <x:v>0</x:v>
      </x:c>
      <x:c r="T10" s="162" t="n">
        <x:f>Q10</x:f>
        <x:v>2970000</x:v>
      </x:c>
      <x:c r="U10" s="162" t="str">
        <x:f>R10</x:f>
        <x:v>KES</x:v>
      </x:c>
      <x:c r="V10" s="162" t="n">
        <x:f>S10</x:f>
        <x:v>0</x:v>
      </x:c>
      <x:c r="W10" s="162" t="n">
        <x:f>T10</x:f>
        <x:v>2970000</x:v>
      </x:c>
      <x:c r="X10" s="162" t="str">
        <x:f>U10</x:f>
        <x:v>KES</x:v>
      </x:c>
      <x:c r="Y10" s="162" t="n">
        <x:f>V10</x:f>
        <x:v>0</x:v>
      </x:c>
      <x:c r="Z10" s="162" t="n">
        <x:f>W10</x:f>
        <x:v>2970000</x:v>
      </x:c>
      <x:c r="AA10" s="162" t="str">
        <x:f>X10</x:f>
        <x:v>KES</x:v>
      </x:c>
      <x:c r="AB10" s="162" t="n">
        <x:f>Y10</x:f>
        <x:v>0</x:v>
      </x:c>
      <x:c r="AC10" s="162" t="n">
        <x:f>Z10</x:f>
        <x:v>2970000</x:v>
      </x:c>
      <x:c r="AD10" s="162" t="str">
        <x:f>AA10</x:f>
        <x:v>KES</x:v>
      </x:c>
      <x:c r="AE10" s="162" t="n">
        <x:f>AB10</x:f>
        <x:v>0</x:v>
      </x:c>
      <x:c r="AF10" s="162" t="n">
        <x:f>AC10</x:f>
        <x:v>2970000</x:v>
      </x:c>
      <x:c r="AG10" s="162" t="str">
        <x:f>AD10</x:f>
        <x:v>KES</x:v>
      </x:c>
      <x:c r="AH10" s="162" t="n">
        <x:f>AE10</x:f>
        <x:v>0</x:v>
      </x:c>
      <x:c r="AI10" s="162" t="n">
        <x:f>AF10</x:f>
        <x:v>2970000</x:v>
      </x:c>
      <x:c r="AJ10" s="162" t="str">
        <x:f>AG10</x:f>
        <x:v>KES</x:v>
      </x:c>
      <x:c r="AK10" s="162" t="n">
        <x:f>AH10</x:f>
        <x:v>0</x:v>
      </x:c>
      <x:c r="AL10" s="162" t="n">
        <x:f>AI10</x:f>
        <x:v>2970000</x:v>
      </x:c>
      <x:c r="AM10" s="162" t="str">
        <x:f>AJ10</x:f>
        <x:v>KES</x:v>
      </x:c>
      <x:c r="AN10" s="162" t="n">
        <x:f>AK10</x:f>
        <x:v>0</x:v>
      </x:c>
    </x:row>
    <x:row r="11">
      <x:c r="A11" s="161" t="str">
        <x:v>Closing balance</x:v>
      </x:c>
      <x:c r="B11" s="146" t="n">
        <x:f>B6+B5-B9+B10</x:f>
        <x:v>130545000</x:v>
      </x:c>
      <x:c r="C11" s="146" t="str">
        <x:v>KES</x:v>
      </x:c>
      <x:c r="D11" s="146"/>
      <x:c r="E11" s="162" t="n">
        <x:f>B11</x:f>
        <x:v>130545000</x:v>
      </x:c>
      <x:c r="F11" s="162" t="str">
        <x:f>C11</x:f>
        <x:v>KES</x:v>
      </x:c>
      <x:c r="G11" s="162" t="n">
        <x:f>D11</x:f>
        <x:v>0</x:v>
      </x:c>
      <x:c r="H11" s="162" t="n">
        <x:f>E11</x:f>
        <x:v>130545000</x:v>
      </x:c>
      <x:c r="I11" s="162" t="str">
        <x:f>F11</x:f>
        <x:v>KES</x:v>
      </x:c>
      <x:c r="J11" s="162" t="n">
        <x:f>G11</x:f>
        <x:v>0</x:v>
      </x:c>
      <x:c r="K11" s="162" t="n">
        <x:f>H11</x:f>
        <x:v>130545000</x:v>
      </x:c>
      <x:c r="L11" s="162" t="str">
        <x:f>I11</x:f>
        <x:v>KES</x:v>
      </x:c>
      <x:c r="M11" s="162" t="n">
        <x:f>J11</x:f>
        <x:v>0</x:v>
      </x:c>
      <x:c r="N11" s="162" t="n">
        <x:f>K11</x:f>
        <x:v>130545000</x:v>
      </x:c>
      <x:c r="O11" s="162" t="str">
        <x:f>L11</x:f>
        <x:v>KES</x:v>
      </x:c>
      <x:c r="P11" s="162" t="n">
        <x:f>M11</x:f>
        <x:v>0</x:v>
      </x:c>
      <x:c r="Q11" s="162" t="n">
        <x:f>N11</x:f>
        <x:v>130545000</x:v>
      </x:c>
      <x:c r="R11" s="162" t="str">
        <x:f>O11</x:f>
        <x:v>KES</x:v>
      </x:c>
      <x:c r="S11" s="162" t="n">
        <x:f>P11</x:f>
        <x:v>0</x:v>
      </x:c>
      <x:c r="T11" s="162" t="n">
        <x:f>Q11</x:f>
        <x:v>130545000</x:v>
      </x:c>
      <x:c r="U11" s="162" t="str">
        <x:f>R11</x:f>
        <x:v>KES</x:v>
      </x:c>
      <x:c r="V11" s="162" t="n">
        <x:f>S11</x:f>
        <x:v>0</x:v>
      </x:c>
      <x:c r="W11" s="162" t="n">
        <x:f>T11</x:f>
        <x:v>130545000</x:v>
      </x:c>
      <x:c r="X11" s="162" t="str">
        <x:f>U11</x:f>
        <x:v>KES</x:v>
      </x:c>
      <x:c r="Y11" s="162" t="n">
        <x:f>V11</x:f>
        <x:v>0</x:v>
      </x:c>
      <x:c r="Z11" s="162" t="n">
        <x:f>W11</x:f>
        <x:v>130545000</x:v>
      </x:c>
      <x:c r="AA11" s="162" t="str">
        <x:f>X11</x:f>
        <x:v>KES</x:v>
      </x:c>
      <x:c r="AB11" s="162" t="n">
        <x:f>Y11</x:f>
        <x:v>0</x:v>
      </x:c>
      <x:c r="AC11" s="162" t="n">
        <x:f>Z11</x:f>
        <x:v>130545000</x:v>
      </x:c>
      <x:c r="AD11" s="162" t="str">
        <x:f>AA11</x:f>
        <x:v>KES</x:v>
      </x:c>
      <x:c r="AE11" s="162" t="n">
        <x:f>AB11</x:f>
        <x:v>0</x:v>
      </x:c>
      <x:c r="AF11" s="162" t="n">
        <x:f>AC11</x:f>
        <x:v>130545000</x:v>
      </x:c>
      <x:c r="AG11" s="162" t="str">
        <x:f>AD11</x:f>
        <x:v>KES</x:v>
      </x:c>
      <x:c r="AH11" s="162" t="n">
        <x:f>AE11</x:f>
        <x:v>0</x:v>
      </x:c>
      <x:c r="AI11" s="162" t="n">
        <x:f>AF11</x:f>
        <x:v>130545000</x:v>
      </x:c>
      <x:c r="AJ11" s="162" t="str">
        <x:f>AG11</x:f>
        <x:v>KES</x:v>
      </x:c>
      <x:c r="AK11" s="162" t="n">
        <x:f>AH11</x:f>
        <x:v>0</x:v>
      </x:c>
      <x:c r="AL11" s="162" t="n">
        <x:f>AI11</x:f>
        <x:v>130545000</x:v>
      </x:c>
      <x:c r="AM11" s="162" t="str">
        <x:f>AJ11</x:f>
        <x:v>KES</x:v>
      </x:c>
      <x:c r="AN11" s="162" t="n">
        <x:f>AK11</x:f>
        <x:v>0</x:v>
      </x:c>
    </x:row>
    <x:row r="12">
      <x:c r="A12" s="161" t="str">
        <x:v>Net cash collections</x:v>
      </x:c>
      <x:c r="B12" s="146" t="n">
        <x:f>B7*B5+B10</x:f>
        <x:v>29970000</x:v>
      </x:c>
      <x:c r="C12" s="146" t="str">
        <x:v>KES</x:v>
      </x:c>
      <x:c r="D12" s="146"/>
      <x:c r="E12" s="162" t="n">
        <x:f>B12</x:f>
        <x:v>29970000</x:v>
      </x:c>
      <x:c r="F12" s="162" t="str">
        <x:f>C12</x:f>
        <x:v>KES</x:v>
      </x:c>
      <x:c r="G12" s="162" t="n">
        <x:f>D12</x:f>
        <x:v>0</x:v>
      </x:c>
      <x:c r="H12" s="162" t="n">
        <x:f>E12</x:f>
        <x:v>29970000</x:v>
      </x:c>
      <x:c r="I12" s="162" t="str">
        <x:f>F12</x:f>
        <x:v>KES</x:v>
      </x:c>
      <x:c r="J12" s="162" t="n">
        <x:f>G12</x:f>
        <x:v>0</x:v>
      </x:c>
      <x:c r="K12" s="162" t="n">
        <x:f>H12</x:f>
        <x:v>29970000</x:v>
      </x:c>
      <x:c r="L12" s="162" t="str">
        <x:f>I12</x:f>
        <x:v>KES</x:v>
      </x:c>
      <x:c r="M12" s="162" t="n">
        <x:f>J12</x:f>
        <x:v>0</x:v>
      </x:c>
      <x:c r="N12" s="162" t="n">
        <x:f>K12</x:f>
        <x:v>29970000</x:v>
      </x:c>
      <x:c r="O12" s="162" t="str">
        <x:f>L12</x:f>
        <x:v>KES</x:v>
      </x:c>
      <x:c r="P12" s="162" t="n">
        <x:f>M12</x:f>
        <x:v>0</x:v>
      </x:c>
      <x:c r="Q12" s="162" t="n">
        <x:f>N12</x:f>
        <x:v>29970000</x:v>
      </x:c>
      <x:c r="R12" s="162" t="str">
        <x:f>O12</x:f>
        <x:v>KES</x:v>
      </x:c>
      <x:c r="S12" s="162" t="n">
        <x:f>P12</x:f>
        <x:v>0</x:v>
      </x:c>
      <x:c r="T12" s="162" t="n">
        <x:f>Q12</x:f>
        <x:v>29970000</x:v>
      </x:c>
      <x:c r="U12" s="162" t="str">
        <x:f>R12</x:f>
        <x:v>KES</x:v>
      </x:c>
      <x:c r="V12" s="162" t="n">
        <x:f>S12</x:f>
        <x:v>0</x:v>
      </x:c>
      <x:c r="W12" s="162" t="n">
        <x:f>T12</x:f>
        <x:v>29970000</x:v>
      </x:c>
      <x:c r="X12" s="162" t="str">
        <x:f>U12</x:f>
        <x:v>KES</x:v>
      </x:c>
      <x:c r="Y12" s="162" t="n">
        <x:f>V12</x:f>
        <x:v>0</x:v>
      </x:c>
      <x:c r="Z12" s="162" t="n">
        <x:f>W12</x:f>
        <x:v>29970000</x:v>
      </x:c>
      <x:c r="AA12" s="162" t="str">
        <x:f>X12</x:f>
        <x:v>KES</x:v>
      </x:c>
      <x:c r="AB12" s="162" t="n">
        <x:f>Y12</x:f>
        <x:v>0</x:v>
      </x:c>
      <x:c r="AC12" s="162" t="n">
        <x:f>Z12</x:f>
        <x:v>29970000</x:v>
      </x:c>
      <x:c r="AD12" s="162" t="str">
        <x:f>AA12</x:f>
        <x:v>KES</x:v>
      </x:c>
      <x:c r="AE12" s="162" t="n">
        <x:f>AB12</x:f>
        <x:v>0</x:v>
      </x:c>
      <x:c r="AF12" s="162" t="n">
        <x:f>AC12</x:f>
        <x:v>29970000</x:v>
      </x:c>
      <x:c r="AG12" s="162" t="str">
        <x:f>AD12</x:f>
        <x:v>KES</x:v>
      </x:c>
      <x:c r="AH12" s="162" t="n">
        <x:f>AE12</x:f>
        <x:v>0</x:v>
      </x:c>
      <x:c r="AI12" s="162" t="n">
        <x:f>AF12</x:f>
        <x:v>29970000</x:v>
      </x:c>
      <x:c r="AJ12" s="162" t="str">
        <x:f>AG12</x:f>
        <x:v>KES</x:v>
      </x:c>
      <x:c r="AK12" s="162" t="n">
        <x:f>AH12</x:f>
        <x:v>0</x:v>
      </x:c>
      <x:c r="AL12" s="162" t="n">
        <x:f>AI12</x:f>
        <x:v>29970000</x:v>
      </x:c>
      <x:c r="AM12" s="162" t="str">
        <x:f>AJ12</x:f>
        <x:v>KES</x:v>
      </x:c>
      <x:c r="AN12" s="162" t="n">
        <x:f>AK12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1" ht="28" customHeight="1">
      <x:c r="A1" s="144" t="str">
        <x:v>Collections and Losses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  <x:c r="AN1" s="146"/>
    </x:row>
    <x:row r="2">
      <x:c r="A2" s="145" t="str">
        <x:v>Portfolio-level aggregation of product cohorts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  <x:c r="AN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  <x:c r="AN3" s="146"/>
    </x:row>
    <x:row r="4">
      <x:c r="A4" s="150" t="str">
        <x:v>Metric</x:v>
      </x:c>
      <x:c r="B4" s="150" t="str">
        <x:v>Unit</x:v>
      </x:c>
      <x:c r="C4" s="150" t="str">
        <x:v>Base</x:v>
      </x:c>
      <x:c r="D4" s="150" t="str">
        <x:v>Scenario</x:v>
      </x:c>
      <x:c r="E4" s="150" t="str">
        <x:v>M01</x:v>
      </x:c>
      <x:c r="F4" s="150" t="str">
        <x:v>M02</x:v>
      </x:c>
      <x:c r="G4" s="150" t="str">
        <x:v>M03</x:v>
      </x:c>
      <x:c r="H4" s="150" t="str">
        <x:v>M04</x:v>
      </x:c>
      <x:c r="I4" s="150" t="str">
        <x:v>M05</x:v>
      </x:c>
      <x:c r="J4" s="150" t="str">
        <x:v>M06</x:v>
      </x:c>
      <x:c r="K4" s="150" t="str">
        <x:v>M07</x:v>
      </x:c>
      <x:c r="L4" s="150" t="str">
        <x:v>M08</x:v>
      </x:c>
      <x:c r="M4" s="150" t="str">
        <x:v>M09</x:v>
      </x:c>
      <x:c r="N4" s="150" t="str">
        <x:v>M10</x:v>
      </x:c>
      <x:c r="O4" s="150" t="str">
        <x:v>M11</x:v>
      </x:c>
      <x:c r="P4" s="150" t="str">
        <x:v>M12</x:v>
      </x:c>
      <x:c r="Q4" s="150" t="str">
        <x:v>M13</x:v>
      </x:c>
      <x:c r="R4" s="150" t="str">
        <x:v>M14</x:v>
      </x:c>
      <x:c r="S4" s="150" t="str">
        <x:v>M15</x:v>
      </x:c>
      <x:c r="T4" s="150" t="str">
        <x:v>M16</x:v>
      </x:c>
      <x:c r="U4" s="150" t="str">
        <x:v>M17</x:v>
      </x:c>
      <x:c r="V4" s="150" t="str">
        <x:v>M18</x:v>
      </x:c>
      <x:c r="W4" s="150" t="str">
        <x:v>M19</x:v>
      </x:c>
      <x:c r="X4" s="150" t="str">
        <x:v>M20</x:v>
      </x:c>
      <x:c r="Y4" s="150" t="str">
        <x:v>M21</x:v>
      </x:c>
      <x:c r="Z4" s="150" t="str">
        <x:v>M22</x:v>
      </x:c>
      <x:c r="AA4" s="150" t="str">
        <x:v>M23</x:v>
      </x:c>
      <x:c r="AB4" s="150" t="str">
        <x:v>M24</x:v>
      </x:c>
      <x:c r="AC4" s="150" t="str">
        <x:v>M25</x:v>
      </x:c>
      <x:c r="AD4" s="150" t="str">
        <x:v>M26</x:v>
      </x:c>
      <x:c r="AE4" s="150" t="str">
        <x:v>M27</x:v>
      </x:c>
      <x:c r="AF4" s="150" t="str">
        <x:v>M28</x:v>
      </x:c>
      <x:c r="AG4" s="150" t="str">
        <x:v>M29</x:v>
      </x:c>
      <x:c r="AH4" s="150" t="str">
        <x:v>M30</x:v>
      </x:c>
      <x:c r="AI4" s="150" t="str">
        <x:v>M31</x:v>
      </x:c>
      <x:c r="AJ4" s="150" t="str">
        <x:v>M32</x:v>
      </x:c>
      <x:c r="AK4" s="150" t="str">
        <x:v>M33</x:v>
      </x:c>
      <x:c r="AL4" s="150" t="str">
        <x:v>M34</x:v>
      </x:c>
      <x:c r="AM4" s="150" t="str">
        <x:v>M35</x:v>
      </x:c>
      <x:c r="AN4" s="146" t="str">
        <x:v>M36</x:v>
      </x:c>
    </x:row>
    <x:row r="5">
      <x:c r="A5" s="161" t="str">
        <x:v>Gross originations</x:v>
      </x:c>
      <x:c r="B5" s="146" t="str">
        <x:v>KES</x:v>
      </x:c>
      <x:c r="C5" s="162" t="n">
        <x:f>SUM('Origination_Drivers'!D17:AM17)</x:f>
        <x:v>41903089478.73562</x:v>
      </x:c>
      <x:c r="D5" s="162" t="n">
        <x:f>C5*'Scenario_Control'!$B$10</x:f>
        <x:v>0</x:v>
      </x:c>
      <x:c r="E5" s="162" t="n">
        <x:f>IFERROR(SUM('IPF_Schedule'!E1,'Microloan_Schedule'!E1,'Revolver_Schedule'!E1),0)</x:f>
        <x:v>0</x:v>
      </x:c>
      <x:c r="F5" s="162" t="n">
        <x:f>IFERROR(SUM('IPF_Schedule'!F1,'Microloan_Schedule'!F1,'Revolver_Schedule'!F1),0)</x:f>
        <x:v>0</x:v>
      </x:c>
      <x:c r="G5" s="162" t="n">
        <x:f>IFERROR(SUM('IPF_Schedule'!G1,'Microloan_Schedule'!G1,'Revolver_Schedule'!G1),0)</x:f>
        <x:v>0</x:v>
      </x:c>
      <x:c r="H5" s="162" t="n">
        <x:f>IFERROR(SUM('IPF_Schedule'!H1,'Microloan_Schedule'!H1,'Revolver_Schedule'!H1),0)</x:f>
        <x:v>0</x:v>
      </x:c>
      <x:c r="I5" s="162" t="n">
        <x:f>IFERROR(SUM('IPF_Schedule'!I1,'Microloan_Schedule'!I1,'Revolver_Schedule'!I1),0)</x:f>
        <x:v>0</x:v>
      </x:c>
      <x:c r="J5" s="162" t="n">
        <x:f>IFERROR(SUM('IPF_Schedule'!J1,'Microloan_Schedule'!J1,'Revolver_Schedule'!J1),0)</x:f>
        <x:v>0</x:v>
      </x:c>
      <x:c r="K5" s="162" t="n">
        <x:f>IFERROR(SUM('IPF_Schedule'!K1,'Microloan_Schedule'!K1,'Revolver_Schedule'!K1),0)</x:f>
        <x:v>0</x:v>
      </x:c>
      <x:c r="L5" s="162" t="n">
        <x:f>IFERROR(SUM('IPF_Schedule'!L1,'Microloan_Schedule'!L1,'Revolver_Schedule'!L1),0)</x:f>
        <x:v>0</x:v>
      </x:c>
      <x:c r="M5" s="162" t="n">
        <x:f>IFERROR(SUM('IPF_Schedule'!M1,'Microloan_Schedule'!M1,'Revolver_Schedule'!M1),0)</x:f>
        <x:v>0</x:v>
      </x:c>
      <x:c r="N5" s="162" t="n">
        <x:f>IFERROR(SUM('IPF_Schedule'!N1,'Microloan_Schedule'!N1,'Revolver_Schedule'!N1),0)</x:f>
        <x:v>0</x:v>
      </x:c>
      <x:c r="O5" s="162" t="n">
        <x:f>IFERROR(SUM('IPF_Schedule'!O1,'Microloan_Schedule'!O1,'Revolver_Schedule'!O1),0)</x:f>
        <x:v>0</x:v>
      </x:c>
      <x:c r="P5" s="162" t="n">
        <x:f>IFERROR(SUM('IPF_Schedule'!P1,'Microloan_Schedule'!P1,'Revolver_Schedule'!P1),0)</x:f>
        <x:v>0</x:v>
      </x:c>
      <x:c r="Q5" s="162" t="n">
        <x:f>IFERROR(SUM('IPF_Schedule'!Q1,'Microloan_Schedule'!Q1,'Revolver_Schedule'!Q1),0)</x:f>
        <x:v>0</x:v>
      </x:c>
      <x:c r="R5" s="162" t="n">
        <x:f>IFERROR(SUM('IPF_Schedule'!R1,'Microloan_Schedule'!R1,'Revolver_Schedule'!R1),0)</x:f>
        <x:v>0</x:v>
      </x:c>
      <x:c r="S5" s="162" t="n">
        <x:f>IFERROR(SUM('IPF_Schedule'!S1,'Microloan_Schedule'!S1,'Revolver_Schedule'!S1),0)</x:f>
        <x:v>0</x:v>
      </x:c>
      <x:c r="T5" s="162" t="n">
        <x:f>IFERROR(SUM('IPF_Schedule'!T1,'Microloan_Schedule'!T1,'Revolver_Schedule'!T1),0)</x:f>
        <x:v>0</x:v>
      </x:c>
      <x:c r="U5" s="162" t="n">
        <x:f>IFERROR(SUM('IPF_Schedule'!U1,'Microloan_Schedule'!U1,'Revolver_Schedule'!U1),0)</x:f>
        <x:v>0</x:v>
      </x:c>
      <x:c r="V5" s="162" t="n">
        <x:f>IFERROR(SUM('IPF_Schedule'!V1,'Microloan_Schedule'!V1,'Revolver_Schedule'!V1),0)</x:f>
        <x:v>0</x:v>
      </x:c>
      <x:c r="W5" s="162" t="n">
        <x:f>IFERROR(SUM('IPF_Schedule'!W1,'Microloan_Schedule'!W1,'Revolver_Schedule'!W1),0)</x:f>
        <x:v>0</x:v>
      </x:c>
      <x:c r="X5" s="162" t="n">
        <x:f>IFERROR(SUM('IPF_Schedule'!X1,'Microloan_Schedule'!X1,'Revolver_Schedule'!X1),0)</x:f>
        <x:v>0</x:v>
      </x:c>
      <x:c r="Y5" s="162" t="n">
        <x:f>IFERROR(SUM('IPF_Schedule'!Y1,'Microloan_Schedule'!Y1,'Revolver_Schedule'!Y1),0)</x:f>
        <x:v>0</x:v>
      </x:c>
      <x:c r="Z5" s="162" t="n">
        <x:f>IFERROR(SUM('IPF_Schedule'!Z1,'Microloan_Schedule'!Z1,'Revolver_Schedule'!Z1),0)</x:f>
        <x:v>0</x:v>
      </x:c>
      <x:c r="AA5" s="162" t="n">
        <x:f>IFERROR(SUM('IPF_Schedule'!AA1,'Microloan_Schedule'!AA1,'Revolver_Schedule'!AA1),0)</x:f>
        <x:v>0</x:v>
      </x:c>
      <x:c r="AB5" s="162" t="n">
        <x:f>IFERROR(SUM('IPF_Schedule'!AB1,'Microloan_Schedule'!AB1,'Revolver_Schedule'!AB1),0)</x:f>
        <x:v>0</x:v>
      </x:c>
      <x:c r="AC5" s="162" t="n">
        <x:f>IFERROR(SUM('IPF_Schedule'!AC1,'Microloan_Schedule'!AC1,'Revolver_Schedule'!AC1),0)</x:f>
        <x:v>0</x:v>
      </x:c>
      <x:c r="AD5" s="162" t="n">
        <x:f>IFERROR(SUM('IPF_Schedule'!AD1,'Microloan_Schedule'!AD1,'Revolver_Schedule'!AD1),0)</x:f>
        <x:v>0</x:v>
      </x:c>
      <x:c r="AE5" s="162" t="n">
        <x:f>IFERROR(SUM('IPF_Schedule'!AE1,'Microloan_Schedule'!AE1,'Revolver_Schedule'!AE1),0)</x:f>
        <x:v>0</x:v>
      </x:c>
      <x:c r="AF5" s="162" t="n">
        <x:f>IFERROR(SUM('IPF_Schedule'!AF1,'Microloan_Schedule'!AF1,'Revolver_Schedule'!AF1),0)</x:f>
        <x:v>0</x:v>
      </x:c>
      <x:c r="AG5" s="162" t="n">
        <x:f>IFERROR(SUM('IPF_Schedule'!AG1,'Microloan_Schedule'!AG1,'Revolver_Schedule'!AG1),0)</x:f>
        <x:v>0</x:v>
      </x:c>
      <x:c r="AH5" s="162" t="n">
        <x:f>IFERROR(SUM('IPF_Schedule'!AH1,'Microloan_Schedule'!AH1,'Revolver_Schedule'!AH1),0)</x:f>
        <x:v>0</x:v>
      </x:c>
      <x:c r="AI5" s="162" t="n">
        <x:f>IFERROR(SUM('IPF_Schedule'!AI1,'Microloan_Schedule'!AI1,'Revolver_Schedule'!AI1),0)</x:f>
        <x:v>0</x:v>
      </x:c>
      <x:c r="AJ5" s="162" t="n">
        <x:f>IFERROR(SUM('IPF_Schedule'!AJ1,'Microloan_Schedule'!AJ1,'Revolver_Schedule'!AJ1),0)</x:f>
        <x:v>0</x:v>
      </x:c>
      <x:c r="AK5" s="162" t="n">
        <x:f>IFERROR(SUM('IPF_Schedule'!AK1,'Microloan_Schedule'!AK1,'Revolver_Schedule'!AK1),0)</x:f>
        <x:v>0</x:v>
      </x:c>
      <x:c r="AL5" s="162" t="n">
        <x:f>IFERROR(SUM('IPF_Schedule'!AL1,'Microloan_Schedule'!AL1,'Revolver_Schedule'!AL1),0)</x:f>
        <x:v>0</x:v>
      </x:c>
      <x:c r="AM5" s="162" t="n">
        <x:f>IFERROR(SUM('IPF_Schedule'!AM1,'Microloan_Schedule'!AM1,'Revolver_Schedule'!AM1),0)</x:f>
        <x:v>0</x:v>
      </x:c>
      <x:c r="AN5" s="162" t="n">
        <x:f>IFERROR(SUM('IPF_Schedule'!AN1,'Microloan_Schedule'!AN1,'Revolver_Schedule'!AN1),0)</x:f>
        <x:v>0</x:v>
      </x:c>
    </x:row>
    <x:row r="6">
      <x:c r="A6" s="161" t="str">
        <x:v>Principal collections</x:v>
      </x:c>
      <x:c r="B6" s="146" t="str">
        <x:v>KES</x:v>
      </x:c>
      <x:c r="C6" s="162" t="n">
        <x:f>SUM('IPF_Schedule'!E12:AN12,'Microloan_Schedule'!E12:AN12,'Revolver_Schedule'!E12:AN12)</x:f>
        <x:v>1407326400</x:v>
      </x:c>
      <x:c r="D6" s="162" t="n">
        <x:f>C6*'Scenario_Control'!$B$8</x:f>
        <x:v>1407326400</x:v>
      </x:c>
      <x:c r="E6" s="162" t="n">
        <x:f>IFERROR(SUM('IPF_Schedule'!E2,'Microloan_Schedule'!E2,'Revolver_Schedule'!E2),0)</x:f>
        <x:v>0</x:v>
      </x:c>
      <x:c r="F6" s="162" t="n">
        <x:f>IFERROR(SUM('IPF_Schedule'!F2,'Microloan_Schedule'!F2,'Revolver_Schedule'!F2),0)</x:f>
        <x:v>0</x:v>
      </x:c>
      <x:c r="G6" s="162" t="n">
        <x:f>IFERROR(SUM('IPF_Schedule'!G2,'Microloan_Schedule'!G2,'Revolver_Schedule'!G2),0)</x:f>
        <x:v>0</x:v>
      </x:c>
      <x:c r="H6" s="162" t="n">
        <x:f>IFERROR(SUM('IPF_Schedule'!H2,'Microloan_Schedule'!H2,'Revolver_Schedule'!H2),0)</x:f>
        <x:v>0</x:v>
      </x:c>
      <x:c r="I6" s="162" t="n">
        <x:f>IFERROR(SUM('IPF_Schedule'!I2,'Microloan_Schedule'!I2,'Revolver_Schedule'!I2),0)</x:f>
        <x:v>0</x:v>
      </x:c>
      <x:c r="J6" s="162" t="n">
        <x:f>IFERROR(SUM('IPF_Schedule'!J2,'Microloan_Schedule'!J2,'Revolver_Schedule'!J2),0)</x:f>
        <x:v>0</x:v>
      </x:c>
      <x:c r="K6" s="162" t="n">
        <x:f>IFERROR(SUM('IPF_Schedule'!K2,'Microloan_Schedule'!K2,'Revolver_Schedule'!K2),0)</x:f>
        <x:v>0</x:v>
      </x:c>
      <x:c r="L6" s="162" t="n">
        <x:f>IFERROR(SUM('IPF_Schedule'!L2,'Microloan_Schedule'!L2,'Revolver_Schedule'!L2),0)</x:f>
        <x:v>0</x:v>
      </x:c>
      <x:c r="M6" s="162" t="n">
        <x:f>IFERROR(SUM('IPF_Schedule'!M2,'Microloan_Schedule'!M2,'Revolver_Schedule'!M2),0)</x:f>
        <x:v>0</x:v>
      </x:c>
      <x:c r="N6" s="162" t="n">
        <x:f>IFERROR(SUM('IPF_Schedule'!N2,'Microloan_Schedule'!N2,'Revolver_Schedule'!N2),0)</x:f>
        <x:v>0</x:v>
      </x:c>
      <x:c r="O6" s="162" t="n">
        <x:f>IFERROR(SUM('IPF_Schedule'!O2,'Microloan_Schedule'!O2,'Revolver_Schedule'!O2),0)</x:f>
        <x:v>0</x:v>
      </x:c>
      <x:c r="P6" s="162" t="n">
        <x:f>IFERROR(SUM('IPF_Schedule'!P2,'Microloan_Schedule'!P2,'Revolver_Schedule'!P2),0)</x:f>
        <x:v>0</x:v>
      </x:c>
      <x:c r="Q6" s="162" t="n">
        <x:f>IFERROR(SUM('IPF_Schedule'!Q2,'Microloan_Schedule'!Q2,'Revolver_Schedule'!Q2),0)</x:f>
        <x:v>0</x:v>
      </x:c>
      <x:c r="R6" s="162" t="n">
        <x:f>IFERROR(SUM('IPF_Schedule'!R2,'Microloan_Schedule'!R2,'Revolver_Schedule'!R2),0)</x:f>
        <x:v>0</x:v>
      </x:c>
      <x:c r="S6" s="162" t="n">
        <x:f>IFERROR(SUM('IPF_Schedule'!S2,'Microloan_Schedule'!S2,'Revolver_Schedule'!S2),0)</x:f>
        <x:v>0</x:v>
      </x:c>
      <x:c r="T6" s="162" t="n">
        <x:f>IFERROR(SUM('IPF_Schedule'!T2,'Microloan_Schedule'!T2,'Revolver_Schedule'!T2),0)</x:f>
        <x:v>0</x:v>
      </x:c>
      <x:c r="U6" s="162" t="n">
        <x:f>IFERROR(SUM('IPF_Schedule'!U2,'Microloan_Schedule'!U2,'Revolver_Schedule'!U2),0)</x:f>
        <x:v>0</x:v>
      </x:c>
      <x:c r="V6" s="162" t="n">
        <x:f>IFERROR(SUM('IPF_Schedule'!V2,'Microloan_Schedule'!V2,'Revolver_Schedule'!V2),0)</x:f>
        <x:v>0</x:v>
      </x:c>
      <x:c r="W6" s="162" t="n">
        <x:f>IFERROR(SUM('IPF_Schedule'!W2,'Microloan_Schedule'!W2,'Revolver_Schedule'!W2),0)</x:f>
        <x:v>0</x:v>
      </x:c>
      <x:c r="X6" s="162" t="n">
        <x:f>IFERROR(SUM('IPF_Schedule'!X2,'Microloan_Schedule'!X2,'Revolver_Schedule'!X2),0)</x:f>
        <x:v>0</x:v>
      </x:c>
      <x:c r="Y6" s="162" t="n">
        <x:f>IFERROR(SUM('IPF_Schedule'!Y2,'Microloan_Schedule'!Y2,'Revolver_Schedule'!Y2),0)</x:f>
        <x:v>0</x:v>
      </x:c>
      <x:c r="Z6" s="162" t="n">
        <x:f>IFERROR(SUM('IPF_Schedule'!Z2,'Microloan_Schedule'!Z2,'Revolver_Schedule'!Z2),0)</x:f>
        <x:v>0</x:v>
      </x:c>
      <x:c r="AA6" s="162" t="n">
        <x:f>IFERROR(SUM('IPF_Schedule'!AA2,'Microloan_Schedule'!AA2,'Revolver_Schedule'!AA2),0)</x:f>
        <x:v>0</x:v>
      </x:c>
      <x:c r="AB6" s="162" t="n">
        <x:f>IFERROR(SUM('IPF_Schedule'!AB2,'Microloan_Schedule'!AB2,'Revolver_Schedule'!AB2),0)</x:f>
        <x:v>0</x:v>
      </x:c>
      <x:c r="AC6" s="162" t="n">
        <x:f>IFERROR(SUM('IPF_Schedule'!AC2,'Microloan_Schedule'!AC2,'Revolver_Schedule'!AC2),0)</x:f>
        <x:v>0</x:v>
      </x:c>
      <x:c r="AD6" s="162" t="n">
        <x:f>IFERROR(SUM('IPF_Schedule'!AD2,'Microloan_Schedule'!AD2,'Revolver_Schedule'!AD2),0)</x:f>
        <x:v>0</x:v>
      </x:c>
      <x:c r="AE6" s="162" t="n">
        <x:f>IFERROR(SUM('IPF_Schedule'!AE2,'Microloan_Schedule'!AE2,'Revolver_Schedule'!AE2),0)</x:f>
        <x:v>0</x:v>
      </x:c>
      <x:c r="AF6" s="162" t="n">
        <x:f>IFERROR(SUM('IPF_Schedule'!AF2,'Microloan_Schedule'!AF2,'Revolver_Schedule'!AF2),0)</x:f>
        <x:v>0</x:v>
      </x:c>
      <x:c r="AG6" s="162" t="n">
        <x:f>IFERROR(SUM('IPF_Schedule'!AG2,'Microloan_Schedule'!AG2,'Revolver_Schedule'!AG2),0)</x:f>
        <x:v>0</x:v>
      </x:c>
      <x:c r="AH6" s="162" t="n">
        <x:f>IFERROR(SUM('IPF_Schedule'!AH2,'Microloan_Schedule'!AH2,'Revolver_Schedule'!AH2),0)</x:f>
        <x:v>0</x:v>
      </x:c>
      <x:c r="AI6" s="162" t="n">
        <x:f>IFERROR(SUM('IPF_Schedule'!AI2,'Microloan_Schedule'!AI2,'Revolver_Schedule'!AI2),0)</x:f>
        <x:v>0</x:v>
      </x:c>
      <x:c r="AJ6" s="162" t="n">
        <x:f>IFERROR(SUM('IPF_Schedule'!AJ2,'Microloan_Schedule'!AJ2,'Revolver_Schedule'!AJ2),0)</x:f>
        <x:v>0</x:v>
      </x:c>
      <x:c r="AK6" s="162" t="n">
        <x:f>IFERROR(SUM('IPF_Schedule'!AK2,'Microloan_Schedule'!AK2,'Revolver_Schedule'!AK2),0)</x:f>
        <x:v>0</x:v>
      </x:c>
      <x:c r="AL6" s="162" t="n">
        <x:f>IFERROR(SUM('IPF_Schedule'!AL2,'Microloan_Schedule'!AL2,'Revolver_Schedule'!AL2),0)</x:f>
        <x:v>0</x:v>
      </x:c>
      <x:c r="AM6" s="162" t="n">
        <x:f>IFERROR(SUM('IPF_Schedule'!AM2,'Microloan_Schedule'!AM2,'Revolver_Schedule'!AM2),0)</x:f>
        <x:v>0</x:v>
      </x:c>
      <x:c r="AN6" s="162" t="n">
        <x:f>IFERROR(SUM('IPF_Schedule'!AN2,'Microloan_Schedule'!AN2,'Revolver_Schedule'!AN2),0)</x:f>
        <x:v>0</x:v>
      </x:c>
    </x:row>
    <x:row r="7">
      <x:c r="A7" s="161" t="str">
        <x:v>Interest collections</x:v>
      </x:c>
      <x:c r="B7" s="146" t="str">
        <x:v>KES</x:v>
      </x:c>
      <x:c r="C7" s="162" t="n">
        <x:f>C5*'Assumptions'!B12</x:f>
        <x:v>5447401632235.631</x:v>
      </x:c>
      <x:c r="D7" s="162" t="n">
        <x:f>C7</x:f>
        <x:v>5447401632235.631</x:v>
      </x:c>
      <x:c r="E7" s="162" t="n">
        <x:f>IFERROR(SUM('IPF_Schedule'!E3,'Microloan_Schedule'!E3,'Revolver_Schedule'!E3),0)</x:f>
        <x:v>0</x:v>
      </x:c>
      <x:c r="F7" s="162" t="n">
        <x:f>IFERROR(SUM('IPF_Schedule'!F3,'Microloan_Schedule'!F3,'Revolver_Schedule'!F3),0)</x:f>
        <x:v>0</x:v>
      </x:c>
      <x:c r="G7" s="162" t="n">
        <x:f>IFERROR(SUM('IPF_Schedule'!G3,'Microloan_Schedule'!G3,'Revolver_Schedule'!G3),0)</x:f>
        <x:v>0</x:v>
      </x:c>
      <x:c r="H7" s="162" t="n">
        <x:f>IFERROR(SUM('IPF_Schedule'!H3,'Microloan_Schedule'!H3,'Revolver_Schedule'!H3),0)</x:f>
        <x:v>0</x:v>
      </x:c>
      <x:c r="I7" s="162" t="n">
        <x:f>IFERROR(SUM('IPF_Schedule'!I3,'Microloan_Schedule'!I3,'Revolver_Schedule'!I3),0)</x:f>
        <x:v>0</x:v>
      </x:c>
      <x:c r="J7" s="162" t="n">
        <x:f>IFERROR(SUM('IPF_Schedule'!J3,'Microloan_Schedule'!J3,'Revolver_Schedule'!J3),0)</x:f>
        <x:v>0</x:v>
      </x:c>
      <x:c r="K7" s="162" t="n">
        <x:f>IFERROR(SUM('IPF_Schedule'!K3,'Microloan_Schedule'!K3,'Revolver_Schedule'!K3),0)</x:f>
        <x:v>0</x:v>
      </x:c>
      <x:c r="L7" s="162" t="n">
        <x:f>IFERROR(SUM('IPF_Schedule'!L3,'Microloan_Schedule'!L3,'Revolver_Schedule'!L3),0)</x:f>
        <x:v>0</x:v>
      </x:c>
      <x:c r="M7" s="162" t="n">
        <x:f>IFERROR(SUM('IPF_Schedule'!M3,'Microloan_Schedule'!M3,'Revolver_Schedule'!M3),0)</x:f>
        <x:v>0</x:v>
      </x:c>
      <x:c r="N7" s="162" t="n">
        <x:f>IFERROR(SUM('IPF_Schedule'!N3,'Microloan_Schedule'!N3,'Revolver_Schedule'!N3),0)</x:f>
        <x:v>0</x:v>
      </x:c>
      <x:c r="O7" s="162" t="n">
        <x:f>IFERROR(SUM('IPF_Schedule'!O3,'Microloan_Schedule'!O3,'Revolver_Schedule'!O3),0)</x:f>
        <x:v>0</x:v>
      </x:c>
      <x:c r="P7" s="162" t="n">
        <x:f>IFERROR(SUM('IPF_Schedule'!P3,'Microloan_Schedule'!P3,'Revolver_Schedule'!P3),0)</x:f>
        <x:v>0</x:v>
      </x:c>
      <x:c r="Q7" s="162" t="n">
        <x:f>IFERROR(SUM('IPF_Schedule'!Q3,'Microloan_Schedule'!Q3,'Revolver_Schedule'!Q3),0)</x:f>
        <x:v>0</x:v>
      </x:c>
      <x:c r="R7" s="162" t="n">
        <x:f>IFERROR(SUM('IPF_Schedule'!R3,'Microloan_Schedule'!R3,'Revolver_Schedule'!R3),0)</x:f>
        <x:v>0</x:v>
      </x:c>
      <x:c r="S7" s="162" t="n">
        <x:f>IFERROR(SUM('IPF_Schedule'!S3,'Microloan_Schedule'!S3,'Revolver_Schedule'!S3),0)</x:f>
        <x:v>0</x:v>
      </x:c>
      <x:c r="T7" s="162" t="n">
        <x:f>IFERROR(SUM('IPF_Schedule'!T3,'Microloan_Schedule'!T3,'Revolver_Schedule'!T3),0)</x:f>
        <x:v>0</x:v>
      </x:c>
      <x:c r="U7" s="162" t="n">
        <x:f>IFERROR(SUM('IPF_Schedule'!U3,'Microloan_Schedule'!U3,'Revolver_Schedule'!U3),0)</x:f>
        <x:v>0</x:v>
      </x:c>
      <x:c r="V7" s="162" t="n">
        <x:f>IFERROR(SUM('IPF_Schedule'!V3,'Microloan_Schedule'!V3,'Revolver_Schedule'!V3),0)</x:f>
        <x:v>0</x:v>
      </x:c>
      <x:c r="W7" s="162" t="n">
        <x:f>IFERROR(SUM('IPF_Schedule'!W3,'Microloan_Schedule'!W3,'Revolver_Schedule'!W3),0)</x:f>
        <x:v>0</x:v>
      </x:c>
      <x:c r="X7" s="162" t="n">
        <x:f>IFERROR(SUM('IPF_Schedule'!X3,'Microloan_Schedule'!X3,'Revolver_Schedule'!X3),0)</x:f>
        <x:v>0</x:v>
      </x:c>
      <x:c r="Y7" s="162" t="n">
        <x:f>IFERROR(SUM('IPF_Schedule'!Y3,'Microloan_Schedule'!Y3,'Revolver_Schedule'!Y3),0)</x:f>
        <x:v>0</x:v>
      </x:c>
      <x:c r="Z7" s="162" t="n">
        <x:f>IFERROR(SUM('IPF_Schedule'!Z3,'Microloan_Schedule'!Z3,'Revolver_Schedule'!Z3),0)</x:f>
        <x:v>0</x:v>
      </x:c>
      <x:c r="AA7" s="162" t="n">
        <x:f>IFERROR(SUM('IPF_Schedule'!AA3,'Microloan_Schedule'!AA3,'Revolver_Schedule'!AA3),0)</x:f>
        <x:v>0</x:v>
      </x:c>
      <x:c r="AB7" s="162" t="n">
        <x:f>IFERROR(SUM('IPF_Schedule'!AB3,'Microloan_Schedule'!AB3,'Revolver_Schedule'!AB3),0)</x:f>
        <x:v>0</x:v>
      </x:c>
      <x:c r="AC7" s="162" t="n">
        <x:f>IFERROR(SUM('IPF_Schedule'!AC3,'Microloan_Schedule'!AC3,'Revolver_Schedule'!AC3),0)</x:f>
        <x:v>0</x:v>
      </x:c>
      <x:c r="AD7" s="162" t="n">
        <x:f>IFERROR(SUM('IPF_Schedule'!AD3,'Microloan_Schedule'!AD3,'Revolver_Schedule'!AD3),0)</x:f>
        <x:v>0</x:v>
      </x:c>
      <x:c r="AE7" s="162" t="n">
        <x:f>IFERROR(SUM('IPF_Schedule'!AE3,'Microloan_Schedule'!AE3,'Revolver_Schedule'!AE3),0)</x:f>
        <x:v>0</x:v>
      </x:c>
      <x:c r="AF7" s="162" t="n">
        <x:f>IFERROR(SUM('IPF_Schedule'!AF3,'Microloan_Schedule'!AF3,'Revolver_Schedule'!AF3),0)</x:f>
        <x:v>0</x:v>
      </x:c>
      <x:c r="AG7" s="162" t="n">
        <x:f>IFERROR(SUM('IPF_Schedule'!AG3,'Microloan_Schedule'!AG3,'Revolver_Schedule'!AG3),0)</x:f>
        <x:v>0</x:v>
      </x:c>
      <x:c r="AH7" s="162" t="n">
        <x:f>IFERROR(SUM('IPF_Schedule'!AH3,'Microloan_Schedule'!AH3,'Revolver_Schedule'!AH3),0)</x:f>
        <x:v>0</x:v>
      </x:c>
      <x:c r="AI7" s="162" t="n">
        <x:f>IFERROR(SUM('IPF_Schedule'!AI3,'Microloan_Schedule'!AI3,'Revolver_Schedule'!AI3),0)</x:f>
        <x:v>0</x:v>
      </x:c>
      <x:c r="AJ7" s="162" t="n">
        <x:f>IFERROR(SUM('IPF_Schedule'!AJ3,'Microloan_Schedule'!AJ3,'Revolver_Schedule'!AJ3),0)</x:f>
        <x:v>0</x:v>
      </x:c>
      <x:c r="AK7" s="162" t="n">
        <x:f>IFERROR(SUM('IPF_Schedule'!AK3,'Microloan_Schedule'!AK3,'Revolver_Schedule'!AK3),0)</x:f>
        <x:v>0</x:v>
      </x:c>
      <x:c r="AL7" s="162" t="n">
        <x:f>IFERROR(SUM('IPF_Schedule'!AL3,'Microloan_Schedule'!AL3,'Revolver_Schedule'!AL3),0)</x:f>
        <x:v>0</x:v>
      </x:c>
      <x:c r="AM7" s="162" t="n">
        <x:f>IFERROR(SUM('IPF_Schedule'!AM3,'Microloan_Schedule'!AM3,'Revolver_Schedule'!AM3),0)</x:f>
        <x:v>0</x:v>
      </x:c>
      <x:c r="AN7" s="162" t="n">
        <x:f>IFERROR(SUM('IPF_Schedule'!AN3,'Microloan_Schedule'!AN3,'Revolver_Schedule'!AN3),0)</x:f>
        <x:v>0</x:v>
      </x:c>
    </x:row>
    <x:row r="8">
      <x:c r="A8" s="161" t="str">
        <x:v>Recoveries</x:v>
      </x:c>
      <x:c r="B8" s="146" t="str">
        <x:v>KES</x:v>
      </x:c>
      <x:c r="C8" s="162" t="n">
        <x:f>SUM('IPF_Schedule'!E10:AN10,'Microloan_Schedule'!E10:AN10,'Revolver_Schedule'!E10:AN10)</x:f>
        <x:v>111326400</x:v>
      </x:c>
      <x:c r="D8" s="162" t="n">
        <x:f>C8*'Scenario_Control'!$B$8</x:f>
        <x:v>111326400</x:v>
      </x:c>
      <x:c r="E8" s="162" t="n">
        <x:f>IFERROR(SUM('IPF_Schedule'!E4,'Microloan_Schedule'!E4,'Revolver_Schedule'!E4),0)</x:f>
        <x:v>0</x:v>
      </x:c>
      <x:c r="F8" s="162" t="n">
        <x:f>IFERROR(SUM('IPF_Schedule'!F4,'Microloan_Schedule'!F4,'Revolver_Schedule'!F4),0)</x:f>
        <x:v>0</x:v>
      </x:c>
      <x:c r="G8" s="162" t="n">
        <x:f>IFERROR(SUM('IPF_Schedule'!G4,'Microloan_Schedule'!G4,'Revolver_Schedule'!G4),0)</x:f>
        <x:v>0</x:v>
      </x:c>
      <x:c r="H8" s="162" t="n">
        <x:f>IFERROR(SUM('IPF_Schedule'!H4,'Microloan_Schedule'!H4,'Revolver_Schedule'!H4),0)</x:f>
        <x:v>0</x:v>
      </x:c>
      <x:c r="I8" s="162" t="n">
        <x:f>IFERROR(SUM('IPF_Schedule'!I4,'Microloan_Schedule'!I4,'Revolver_Schedule'!I4),0)</x:f>
        <x:v>0</x:v>
      </x:c>
      <x:c r="J8" s="162" t="n">
        <x:f>IFERROR(SUM('IPF_Schedule'!J4,'Microloan_Schedule'!J4,'Revolver_Schedule'!J4),0)</x:f>
        <x:v>0</x:v>
      </x:c>
      <x:c r="K8" s="162" t="n">
        <x:f>IFERROR(SUM('IPF_Schedule'!K4,'Microloan_Schedule'!K4,'Revolver_Schedule'!K4),0)</x:f>
        <x:v>0</x:v>
      </x:c>
      <x:c r="L8" s="162" t="n">
        <x:f>IFERROR(SUM('IPF_Schedule'!L4,'Microloan_Schedule'!L4,'Revolver_Schedule'!L4),0)</x:f>
        <x:v>0</x:v>
      </x:c>
      <x:c r="M8" s="162" t="n">
        <x:f>IFERROR(SUM('IPF_Schedule'!M4,'Microloan_Schedule'!M4,'Revolver_Schedule'!M4),0)</x:f>
        <x:v>0</x:v>
      </x:c>
      <x:c r="N8" s="162" t="n">
        <x:f>IFERROR(SUM('IPF_Schedule'!N4,'Microloan_Schedule'!N4,'Revolver_Schedule'!N4),0)</x:f>
        <x:v>0</x:v>
      </x:c>
      <x:c r="O8" s="162" t="n">
        <x:f>IFERROR(SUM('IPF_Schedule'!O4,'Microloan_Schedule'!O4,'Revolver_Schedule'!O4),0)</x:f>
        <x:v>0</x:v>
      </x:c>
      <x:c r="P8" s="162" t="n">
        <x:f>IFERROR(SUM('IPF_Schedule'!P4,'Microloan_Schedule'!P4,'Revolver_Schedule'!P4),0)</x:f>
        <x:v>0</x:v>
      </x:c>
      <x:c r="Q8" s="162" t="n">
        <x:f>IFERROR(SUM('IPF_Schedule'!Q4,'Microloan_Schedule'!Q4,'Revolver_Schedule'!Q4),0)</x:f>
        <x:v>0</x:v>
      </x:c>
      <x:c r="R8" s="162" t="n">
        <x:f>IFERROR(SUM('IPF_Schedule'!R4,'Microloan_Schedule'!R4,'Revolver_Schedule'!R4),0)</x:f>
        <x:v>0</x:v>
      </x:c>
      <x:c r="S8" s="162" t="n">
        <x:f>IFERROR(SUM('IPF_Schedule'!S4,'Microloan_Schedule'!S4,'Revolver_Schedule'!S4),0)</x:f>
        <x:v>0</x:v>
      </x:c>
      <x:c r="T8" s="162" t="n">
        <x:f>IFERROR(SUM('IPF_Schedule'!T4,'Microloan_Schedule'!T4,'Revolver_Schedule'!T4),0)</x:f>
        <x:v>0</x:v>
      </x:c>
      <x:c r="U8" s="162" t="n">
        <x:f>IFERROR(SUM('IPF_Schedule'!U4,'Microloan_Schedule'!U4,'Revolver_Schedule'!U4),0)</x:f>
        <x:v>0</x:v>
      </x:c>
      <x:c r="V8" s="162" t="n">
        <x:f>IFERROR(SUM('IPF_Schedule'!V4,'Microloan_Schedule'!V4,'Revolver_Schedule'!V4),0)</x:f>
        <x:v>0</x:v>
      </x:c>
      <x:c r="W8" s="162" t="n">
        <x:f>IFERROR(SUM('IPF_Schedule'!W4,'Microloan_Schedule'!W4,'Revolver_Schedule'!W4),0)</x:f>
        <x:v>0</x:v>
      </x:c>
      <x:c r="X8" s="162" t="n">
        <x:f>IFERROR(SUM('IPF_Schedule'!X4,'Microloan_Schedule'!X4,'Revolver_Schedule'!X4),0)</x:f>
        <x:v>0</x:v>
      </x:c>
      <x:c r="Y8" s="162" t="n">
        <x:f>IFERROR(SUM('IPF_Schedule'!Y4,'Microloan_Schedule'!Y4,'Revolver_Schedule'!Y4),0)</x:f>
        <x:v>0</x:v>
      </x:c>
      <x:c r="Z8" s="162" t="n">
        <x:f>IFERROR(SUM('IPF_Schedule'!Z4,'Microloan_Schedule'!Z4,'Revolver_Schedule'!Z4),0)</x:f>
        <x:v>0</x:v>
      </x:c>
      <x:c r="AA8" s="162" t="n">
        <x:f>IFERROR(SUM('IPF_Schedule'!AA4,'Microloan_Schedule'!AA4,'Revolver_Schedule'!AA4),0)</x:f>
        <x:v>0</x:v>
      </x:c>
      <x:c r="AB8" s="162" t="n">
        <x:f>IFERROR(SUM('IPF_Schedule'!AB4,'Microloan_Schedule'!AB4,'Revolver_Schedule'!AB4),0)</x:f>
        <x:v>0</x:v>
      </x:c>
      <x:c r="AC8" s="162" t="n">
        <x:f>IFERROR(SUM('IPF_Schedule'!AC4,'Microloan_Schedule'!AC4,'Revolver_Schedule'!AC4),0)</x:f>
        <x:v>0</x:v>
      </x:c>
      <x:c r="AD8" s="162" t="n">
        <x:f>IFERROR(SUM('IPF_Schedule'!AD4,'Microloan_Schedule'!AD4,'Revolver_Schedule'!AD4),0)</x:f>
        <x:v>0</x:v>
      </x:c>
      <x:c r="AE8" s="162" t="n">
        <x:f>IFERROR(SUM('IPF_Schedule'!AE4,'Microloan_Schedule'!AE4,'Revolver_Schedule'!AE4),0)</x:f>
        <x:v>0</x:v>
      </x:c>
      <x:c r="AF8" s="162" t="n">
        <x:f>IFERROR(SUM('IPF_Schedule'!AF4,'Microloan_Schedule'!AF4,'Revolver_Schedule'!AF4),0)</x:f>
        <x:v>0</x:v>
      </x:c>
      <x:c r="AG8" s="162" t="n">
        <x:f>IFERROR(SUM('IPF_Schedule'!AG4,'Microloan_Schedule'!AG4,'Revolver_Schedule'!AG4),0)</x:f>
        <x:v>0</x:v>
      </x:c>
      <x:c r="AH8" s="162" t="n">
        <x:f>IFERROR(SUM('IPF_Schedule'!AH4,'Microloan_Schedule'!AH4,'Revolver_Schedule'!AH4),0)</x:f>
        <x:v>0</x:v>
      </x:c>
      <x:c r="AI8" s="162" t="n">
        <x:f>IFERROR(SUM('IPF_Schedule'!AI4,'Microloan_Schedule'!AI4,'Revolver_Schedule'!AI4),0)</x:f>
        <x:v>0</x:v>
      </x:c>
      <x:c r="AJ8" s="162" t="n">
        <x:f>IFERROR(SUM('IPF_Schedule'!AJ4,'Microloan_Schedule'!AJ4,'Revolver_Schedule'!AJ4),0)</x:f>
        <x:v>0</x:v>
      </x:c>
      <x:c r="AK8" s="162" t="n">
        <x:f>IFERROR(SUM('IPF_Schedule'!AK4,'Microloan_Schedule'!AK4,'Revolver_Schedule'!AK4),0)</x:f>
        <x:v>0</x:v>
      </x:c>
      <x:c r="AL8" s="162" t="n">
        <x:f>IFERROR(SUM('IPF_Schedule'!AL4,'Microloan_Schedule'!AL4,'Revolver_Schedule'!AL4),0)</x:f>
        <x:v>0</x:v>
      </x:c>
      <x:c r="AM8" s="162" t="n">
        <x:f>IFERROR(SUM('IPF_Schedule'!AM4,'Microloan_Schedule'!AM4,'Revolver_Schedule'!AM4),0)</x:f>
        <x:v>0</x:v>
      </x:c>
      <x:c r="AN8" s="162" t="n">
        <x:f>IFERROR(SUM('IPF_Schedule'!AN4,'Microloan_Schedule'!AN4,'Revolver_Schedule'!AN4),0)</x:f>
        <x:v>0</x:v>
      </x:c>
    </x:row>
    <x:row r="9">
      <x:c r="A9" s="161" t="str">
        <x:v>Defaults</x:v>
      </x:c>
      <x:c r="B9" s="146" t="str">
        <x:v>KES</x:v>
      </x:c>
      <x:c r="C9" s="162" t="n">
        <x:f>SUM('IPF_Schedule'!E9:AN9,'Microloan_Schedule'!E9:AN9,'Revolver_Schedule'!E9:AN9)</x:f>
        <x:v>278316000</x:v>
      </x:c>
      <x:c r="D9" s="162" t="n">
        <x:f>C9*'Scenario_Control'!$B$7</x:f>
        <x:v>278316000</x:v>
      </x:c>
      <x:c r="E9" s="162" t="n">
        <x:f>IFERROR(SUM('IPF_Schedule'!E5,'Microloan_Schedule'!E5,'Revolver_Schedule'!E5),0)</x:f>
        <x:v>540000000</x:v>
      </x:c>
      <x:c r="F9" s="162" t="n">
        <x:f>IFERROR(SUM('IPF_Schedule'!F5,'Microloan_Schedule'!F5,'Revolver_Schedule'!F5),0)</x:f>
        <x:v>0</x:v>
      </x:c>
      <x:c r="G9" s="162" t="n">
        <x:f>IFERROR(SUM('IPF_Schedule'!G5,'Microloan_Schedule'!G5,'Revolver_Schedule'!G5),0)</x:f>
        <x:v>0</x:v>
      </x:c>
      <x:c r="H9" s="162" t="n">
        <x:f>IFERROR(SUM('IPF_Schedule'!H5,'Microloan_Schedule'!H5,'Revolver_Schedule'!H5),0)</x:f>
        <x:v>540000000</x:v>
      </x:c>
      <x:c r="I9" s="162" t="n">
        <x:f>IFERROR(SUM('IPF_Schedule'!I5,'Microloan_Schedule'!I5,'Revolver_Schedule'!I5),0)</x:f>
        <x:v>0</x:v>
      </x:c>
      <x:c r="J9" s="162" t="n">
        <x:f>IFERROR(SUM('IPF_Schedule'!J5,'Microloan_Schedule'!J5,'Revolver_Schedule'!J5),0)</x:f>
        <x:v>0</x:v>
      </x:c>
      <x:c r="K9" s="162" t="n">
        <x:f>IFERROR(SUM('IPF_Schedule'!K5,'Microloan_Schedule'!K5,'Revolver_Schedule'!K5),0)</x:f>
        <x:v>540000000</x:v>
      </x:c>
      <x:c r="L9" s="162" t="n">
        <x:f>IFERROR(SUM('IPF_Schedule'!L5,'Microloan_Schedule'!L5,'Revolver_Schedule'!L5),0)</x:f>
        <x:v>0</x:v>
      </x:c>
      <x:c r="M9" s="162" t="n">
        <x:f>IFERROR(SUM('IPF_Schedule'!M5,'Microloan_Schedule'!M5,'Revolver_Schedule'!M5),0)</x:f>
        <x:v>0</x:v>
      </x:c>
      <x:c r="N9" s="162" t="n">
        <x:f>IFERROR(SUM('IPF_Schedule'!N5,'Microloan_Schedule'!N5,'Revolver_Schedule'!N5),0)</x:f>
        <x:v>540000000</x:v>
      </x:c>
      <x:c r="O9" s="162" t="n">
        <x:f>IFERROR(SUM('IPF_Schedule'!O5,'Microloan_Schedule'!O5,'Revolver_Schedule'!O5),0)</x:f>
        <x:v>0</x:v>
      </x:c>
      <x:c r="P9" s="162" t="n">
        <x:f>IFERROR(SUM('IPF_Schedule'!P5,'Microloan_Schedule'!P5,'Revolver_Schedule'!P5),0)</x:f>
        <x:v>0</x:v>
      </x:c>
      <x:c r="Q9" s="162" t="n">
        <x:f>IFERROR(SUM('IPF_Schedule'!Q5,'Microloan_Schedule'!Q5,'Revolver_Schedule'!Q5),0)</x:f>
        <x:v>540000000</x:v>
      </x:c>
      <x:c r="R9" s="162" t="n">
        <x:f>IFERROR(SUM('IPF_Schedule'!R5,'Microloan_Schedule'!R5,'Revolver_Schedule'!R5),0)</x:f>
        <x:v>0</x:v>
      </x:c>
      <x:c r="S9" s="162" t="n">
        <x:f>IFERROR(SUM('IPF_Schedule'!S5,'Microloan_Schedule'!S5,'Revolver_Schedule'!S5),0)</x:f>
        <x:v>0</x:v>
      </x:c>
      <x:c r="T9" s="162" t="n">
        <x:f>IFERROR(SUM('IPF_Schedule'!T5,'Microloan_Schedule'!T5,'Revolver_Schedule'!T5),0)</x:f>
        <x:v>540000000</x:v>
      </x:c>
      <x:c r="U9" s="162" t="n">
        <x:f>IFERROR(SUM('IPF_Schedule'!U5,'Microloan_Schedule'!U5,'Revolver_Schedule'!U5),0)</x:f>
        <x:v>0</x:v>
      </x:c>
      <x:c r="V9" s="162" t="n">
        <x:f>IFERROR(SUM('IPF_Schedule'!V5,'Microloan_Schedule'!V5,'Revolver_Schedule'!V5),0)</x:f>
        <x:v>0</x:v>
      </x:c>
      <x:c r="W9" s="162" t="n">
        <x:f>IFERROR(SUM('IPF_Schedule'!W5,'Microloan_Schedule'!W5,'Revolver_Schedule'!W5),0)</x:f>
        <x:v>540000000</x:v>
      </x:c>
      <x:c r="X9" s="162" t="n">
        <x:f>IFERROR(SUM('IPF_Schedule'!X5,'Microloan_Schedule'!X5,'Revolver_Schedule'!X5),0)</x:f>
        <x:v>0</x:v>
      </x:c>
      <x:c r="Y9" s="162" t="n">
        <x:f>IFERROR(SUM('IPF_Schedule'!Y5,'Microloan_Schedule'!Y5,'Revolver_Schedule'!Y5),0)</x:f>
        <x:v>0</x:v>
      </x:c>
      <x:c r="Z9" s="162" t="n">
        <x:f>IFERROR(SUM('IPF_Schedule'!Z5,'Microloan_Schedule'!Z5,'Revolver_Schedule'!Z5),0)</x:f>
        <x:v>540000000</x:v>
      </x:c>
      <x:c r="AA9" s="162" t="n">
        <x:f>IFERROR(SUM('IPF_Schedule'!AA5,'Microloan_Schedule'!AA5,'Revolver_Schedule'!AA5),0)</x:f>
        <x:v>0</x:v>
      </x:c>
      <x:c r="AB9" s="162" t="n">
        <x:f>IFERROR(SUM('IPF_Schedule'!AB5,'Microloan_Schedule'!AB5,'Revolver_Schedule'!AB5),0)</x:f>
        <x:v>0</x:v>
      </x:c>
      <x:c r="AC9" s="162" t="n">
        <x:f>IFERROR(SUM('IPF_Schedule'!AC5,'Microloan_Schedule'!AC5,'Revolver_Schedule'!AC5),0)</x:f>
        <x:v>540000000</x:v>
      </x:c>
      <x:c r="AD9" s="162" t="n">
        <x:f>IFERROR(SUM('IPF_Schedule'!AD5,'Microloan_Schedule'!AD5,'Revolver_Schedule'!AD5),0)</x:f>
        <x:v>0</x:v>
      </x:c>
      <x:c r="AE9" s="162" t="n">
        <x:f>IFERROR(SUM('IPF_Schedule'!AE5,'Microloan_Schedule'!AE5,'Revolver_Schedule'!AE5),0)</x:f>
        <x:v>0</x:v>
      </x:c>
      <x:c r="AF9" s="162" t="n">
        <x:f>IFERROR(SUM('IPF_Schedule'!AF5,'Microloan_Schedule'!AF5,'Revolver_Schedule'!AF5),0)</x:f>
        <x:v>540000000</x:v>
      </x:c>
      <x:c r="AG9" s="162" t="n">
        <x:f>IFERROR(SUM('IPF_Schedule'!AG5,'Microloan_Schedule'!AG5,'Revolver_Schedule'!AG5),0)</x:f>
        <x:v>0</x:v>
      </x:c>
      <x:c r="AH9" s="162" t="n">
        <x:f>IFERROR(SUM('IPF_Schedule'!AH5,'Microloan_Schedule'!AH5,'Revolver_Schedule'!AH5),0)</x:f>
        <x:v>0</x:v>
      </x:c>
      <x:c r="AI9" s="162" t="n">
        <x:f>IFERROR(SUM('IPF_Schedule'!AI5,'Microloan_Schedule'!AI5,'Revolver_Schedule'!AI5),0)</x:f>
        <x:v>540000000</x:v>
      </x:c>
      <x:c r="AJ9" s="162" t="n">
        <x:f>IFERROR(SUM('IPF_Schedule'!AJ5,'Microloan_Schedule'!AJ5,'Revolver_Schedule'!AJ5),0)</x:f>
        <x:v>0</x:v>
      </x:c>
      <x:c r="AK9" s="162" t="n">
        <x:f>IFERROR(SUM('IPF_Schedule'!AK5,'Microloan_Schedule'!AK5,'Revolver_Schedule'!AK5),0)</x:f>
        <x:v>0</x:v>
      </x:c>
      <x:c r="AL9" s="162" t="n">
        <x:f>IFERROR(SUM('IPF_Schedule'!AL5,'Microloan_Schedule'!AL5,'Revolver_Schedule'!AL5),0)</x:f>
        <x:v>540000000</x:v>
      </x:c>
      <x:c r="AM9" s="162" t="n">
        <x:f>IFERROR(SUM('IPF_Schedule'!AM5,'Microloan_Schedule'!AM5,'Revolver_Schedule'!AM5),0)</x:f>
        <x:v>0</x:v>
      </x:c>
      <x:c r="AN9" s="162" t="n">
        <x:f>IFERROR(SUM('IPF_Schedule'!AN5,'Microloan_Schedule'!AN5,'Revolver_Schedule'!AN5),0)</x:f>
        <x:v>0</x:v>
      </x:c>
    </x:row>
    <x:row r="10">
      <x:c r="A10" s="161" t="str">
        <x:v>Net collections</x:v>
      </x:c>
      <x:c r="B10" s="146" t="str">
        <x:v>KES</x:v>
      </x:c>
      <x:c r="C10" s="162" t="n">
        <x:f>C6+C7+C8-C9</x:f>
        <x:v>5448641969035.631</x:v>
      </x:c>
      <x:c r="D10" s="162" t="n">
        <x:f>D6+D7+D8-D9</x:f>
        <x:v>5448641969035.631</x:v>
      </x:c>
      <x:c r="E10" s="162" t="n">
        <x:f>IFERROR(SUM('IPF_Schedule'!E6,'Microloan_Schedule'!E6,'Revolver_Schedule'!E6),0)</x:f>
        <x:v>0</x:v>
      </x:c>
      <x:c r="F10" s="162" t="n">
        <x:f>IFERROR(SUM('IPF_Schedule'!F6,'Microloan_Schedule'!F6,'Revolver_Schedule'!F6),0)</x:f>
        <x:v>0</x:v>
      </x:c>
      <x:c r="G10" s="162" t="n">
        <x:f>IFERROR(SUM('IPF_Schedule'!G6,'Microloan_Schedule'!G6,'Revolver_Schedule'!G6),0)</x:f>
        <x:v>0</x:v>
      </x:c>
      <x:c r="H10" s="162" t="n">
        <x:f>IFERROR(SUM('IPF_Schedule'!H6,'Microloan_Schedule'!H6,'Revolver_Schedule'!H6),0)</x:f>
        <x:v>0</x:v>
      </x:c>
      <x:c r="I10" s="162" t="n">
        <x:f>IFERROR(SUM('IPF_Schedule'!I6,'Microloan_Schedule'!I6,'Revolver_Schedule'!I6),0)</x:f>
        <x:v>0</x:v>
      </x:c>
      <x:c r="J10" s="162" t="n">
        <x:f>IFERROR(SUM('IPF_Schedule'!J6,'Microloan_Schedule'!J6,'Revolver_Schedule'!J6),0)</x:f>
        <x:v>0</x:v>
      </x:c>
      <x:c r="K10" s="162" t="n">
        <x:f>IFERROR(SUM('IPF_Schedule'!K6,'Microloan_Schedule'!K6,'Revolver_Schedule'!K6),0)</x:f>
        <x:v>0</x:v>
      </x:c>
      <x:c r="L10" s="162" t="n">
        <x:f>IFERROR(SUM('IPF_Schedule'!L6,'Microloan_Schedule'!L6,'Revolver_Schedule'!L6),0)</x:f>
        <x:v>0</x:v>
      </x:c>
      <x:c r="M10" s="162" t="n">
        <x:f>IFERROR(SUM('IPF_Schedule'!M6,'Microloan_Schedule'!M6,'Revolver_Schedule'!M6),0)</x:f>
        <x:v>0</x:v>
      </x:c>
      <x:c r="N10" s="162" t="n">
        <x:f>IFERROR(SUM('IPF_Schedule'!N6,'Microloan_Schedule'!N6,'Revolver_Schedule'!N6),0)</x:f>
        <x:v>0</x:v>
      </x:c>
      <x:c r="O10" s="162" t="n">
        <x:f>IFERROR(SUM('IPF_Schedule'!O6,'Microloan_Schedule'!O6,'Revolver_Schedule'!O6),0)</x:f>
        <x:v>0</x:v>
      </x:c>
      <x:c r="P10" s="162" t="n">
        <x:f>IFERROR(SUM('IPF_Schedule'!P6,'Microloan_Schedule'!P6,'Revolver_Schedule'!P6),0)</x:f>
        <x:v>0</x:v>
      </x:c>
      <x:c r="Q10" s="162" t="n">
        <x:f>IFERROR(SUM('IPF_Schedule'!Q6,'Microloan_Schedule'!Q6,'Revolver_Schedule'!Q6),0)</x:f>
        <x:v>0</x:v>
      </x:c>
      <x:c r="R10" s="162" t="n">
        <x:f>IFERROR(SUM('IPF_Schedule'!R6,'Microloan_Schedule'!R6,'Revolver_Schedule'!R6),0)</x:f>
        <x:v>0</x:v>
      </x:c>
      <x:c r="S10" s="162" t="n">
        <x:f>IFERROR(SUM('IPF_Schedule'!S6,'Microloan_Schedule'!S6,'Revolver_Schedule'!S6),0)</x:f>
        <x:v>0</x:v>
      </x:c>
      <x:c r="T10" s="162" t="n">
        <x:f>IFERROR(SUM('IPF_Schedule'!T6,'Microloan_Schedule'!T6,'Revolver_Schedule'!T6),0)</x:f>
        <x:v>0</x:v>
      </x:c>
      <x:c r="U10" s="162" t="n">
        <x:f>IFERROR(SUM('IPF_Schedule'!U6,'Microloan_Schedule'!U6,'Revolver_Schedule'!U6),0)</x:f>
        <x:v>0</x:v>
      </x:c>
      <x:c r="V10" s="162" t="n">
        <x:f>IFERROR(SUM('IPF_Schedule'!V6,'Microloan_Schedule'!V6,'Revolver_Schedule'!V6),0)</x:f>
        <x:v>0</x:v>
      </x:c>
      <x:c r="W10" s="162" t="n">
        <x:f>IFERROR(SUM('IPF_Schedule'!W6,'Microloan_Schedule'!W6,'Revolver_Schedule'!W6),0)</x:f>
        <x:v>0</x:v>
      </x:c>
      <x:c r="X10" s="162" t="n">
        <x:f>IFERROR(SUM('IPF_Schedule'!X6,'Microloan_Schedule'!X6,'Revolver_Schedule'!X6),0)</x:f>
        <x:v>0</x:v>
      </x:c>
      <x:c r="Y10" s="162" t="n">
        <x:f>IFERROR(SUM('IPF_Schedule'!Y6,'Microloan_Schedule'!Y6,'Revolver_Schedule'!Y6),0)</x:f>
        <x:v>0</x:v>
      </x:c>
      <x:c r="Z10" s="162" t="n">
        <x:f>IFERROR(SUM('IPF_Schedule'!Z6,'Microloan_Schedule'!Z6,'Revolver_Schedule'!Z6),0)</x:f>
        <x:v>0</x:v>
      </x:c>
      <x:c r="AA10" s="162" t="n">
        <x:f>IFERROR(SUM('IPF_Schedule'!AA6,'Microloan_Schedule'!AA6,'Revolver_Schedule'!AA6),0)</x:f>
        <x:v>0</x:v>
      </x:c>
      <x:c r="AB10" s="162" t="n">
        <x:f>IFERROR(SUM('IPF_Schedule'!AB6,'Microloan_Schedule'!AB6,'Revolver_Schedule'!AB6),0)</x:f>
        <x:v>0</x:v>
      </x:c>
      <x:c r="AC10" s="162" t="n">
        <x:f>IFERROR(SUM('IPF_Schedule'!AC6,'Microloan_Schedule'!AC6,'Revolver_Schedule'!AC6),0)</x:f>
        <x:v>0</x:v>
      </x:c>
      <x:c r="AD10" s="162" t="n">
        <x:f>IFERROR(SUM('IPF_Schedule'!AD6,'Microloan_Schedule'!AD6,'Revolver_Schedule'!AD6),0)</x:f>
        <x:v>0</x:v>
      </x:c>
      <x:c r="AE10" s="162" t="n">
        <x:f>IFERROR(SUM('IPF_Schedule'!AE6,'Microloan_Schedule'!AE6,'Revolver_Schedule'!AE6),0)</x:f>
        <x:v>0</x:v>
      </x:c>
      <x:c r="AF10" s="162" t="n">
        <x:f>IFERROR(SUM('IPF_Schedule'!AF6,'Microloan_Schedule'!AF6,'Revolver_Schedule'!AF6),0)</x:f>
        <x:v>0</x:v>
      </x:c>
      <x:c r="AG10" s="162" t="n">
        <x:f>IFERROR(SUM('IPF_Schedule'!AG6,'Microloan_Schedule'!AG6,'Revolver_Schedule'!AG6),0)</x:f>
        <x:v>0</x:v>
      </x:c>
      <x:c r="AH10" s="162" t="n">
        <x:f>IFERROR(SUM('IPF_Schedule'!AH6,'Microloan_Schedule'!AH6,'Revolver_Schedule'!AH6),0)</x:f>
        <x:v>0</x:v>
      </x:c>
      <x:c r="AI10" s="162" t="n">
        <x:f>IFERROR(SUM('IPF_Schedule'!AI6,'Microloan_Schedule'!AI6,'Revolver_Schedule'!AI6),0)</x:f>
        <x:v>0</x:v>
      </x:c>
      <x:c r="AJ10" s="162" t="n">
        <x:f>IFERROR(SUM('IPF_Schedule'!AJ6,'Microloan_Schedule'!AJ6,'Revolver_Schedule'!AJ6),0)</x:f>
        <x:v>0</x:v>
      </x:c>
      <x:c r="AK10" s="162" t="n">
        <x:f>IFERROR(SUM('IPF_Schedule'!AK6,'Microloan_Schedule'!AK6,'Revolver_Schedule'!AK6),0)</x:f>
        <x:v>0</x:v>
      </x:c>
      <x:c r="AL10" s="162" t="n">
        <x:f>IFERROR(SUM('IPF_Schedule'!AL6,'Microloan_Schedule'!AL6,'Revolver_Schedule'!AL6),0)</x:f>
        <x:v>0</x:v>
      </x:c>
      <x:c r="AM10" s="162" t="n">
        <x:f>IFERROR(SUM('IPF_Schedule'!AM6,'Microloan_Schedule'!AM6,'Revolver_Schedule'!AM6),0)</x:f>
        <x:v>0</x:v>
      </x:c>
      <x:c r="AN10" s="162" t="n">
        <x:f>IFERROR(SUM('IPF_Schedule'!AN6,'Microloan_Schedule'!AN6,'Revolver_Schedule'!AN6),0)</x:f>
        <x:v>0</x:v>
      </x:c>
    </x:row>
    <x:row r="11">
      <x:c r="A11" s="161" t="str">
        <x:v>Gross portfolio yield</x:v>
      </x:c>
      <x:c r="B11" s="146" t="str">
        <x:v>%</x:v>
      </x:c>
      <x:c r="C11" s="163" t="n">
        <x:f>IFERROR((C6+C7)/C5,0)</x:f>
        <x:v>130.0335852658481</x:v>
      </x:c>
      <x:c r="D11" s="163" t="n">
        <x:f>IFERROR((D6+D7)/D5,0)</x:f>
        <x:v>0</x:v>
      </x:c>
      <x:c r="E11" s="163" t="n">
        <x:f>IFERROR(SUM('IPF_Schedule'!E7,'Microloan_Schedule'!E7,'Revolver_Schedule'!E7),0)</x:f>
        <x:v>0.6000000000000001</x:v>
      </x:c>
      <x:c r="F11" s="163" t="n">
        <x:f>IFERROR(SUM('IPF_Schedule'!F7,'Microloan_Schedule'!F7,'Revolver_Schedule'!F7),0)</x:f>
        <x:v>0</x:v>
      </x:c>
      <x:c r="G11" s="163" t="n">
        <x:f>IFERROR(SUM('IPF_Schedule'!G7,'Microloan_Schedule'!G7,'Revolver_Schedule'!G7),0)</x:f>
        <x:v>0</x:v>
      </x:c>
      <x:c r="H11" s="163" t="n">
        <x:f>IFERROR(SUM('IPF_Schedule'!H7,'Microloan_Schedule'!H7,'Revolver_Schedule'!H7),0)</x:f>
        <x:v>0.6000000000000001</x:v>
      </x:c>
      <x:c r="I11" s="163" t="n">
        <x:f>IFERROR(SUM('IPF_Schedule'!I7,'Microloan_Schedule'!I7,'Revolver_Schedule'!I7),0)</x:f>
        <x:v>0</x:v>
      </x:c>
      <x:c r="J11" s="163" t="n">
        <x:f>IFERROR(SUM('IPF_Schedule'!J7,'Microloan_Schedule'!J7,'Revolver_Schedule'!J7),0)</x:f>
        <x:v>0</x:v>
      </x:c>
      <x:c r="K11" s="163" t="n">
        <x:f>IFERROR(SUM('IPF_Schedule'!K7,'Microloan_Schedule'!K7,'Revolver_Schedule'!K7),0)</x:f>
        <x:v>0.6000000000000001</x:v>
      </x:c>
      <x:c r="L11" s="163" t="n">
        <x:f>IFERROR(SUM('IPF_Schedule'!L7,'Microloan_Schedule'!L7,'Revolver_Schedule'!L7),0)</x:f>
        <x:v>0</x:v>
      </x:c>
      <x:c r="M11" s="163" t="n">
        <x:f>IFERROR(SUM('IPF_Schedule'!M7,'Microloan_Schedule'!M7,'Revolver_Schedule'!M7),0)</x:f>
        <x:v>0</x:v>
      </x:c>
      <x:c r="N11" s="163" t="n">
        <x:f>IFERROR(SUM('IPF_Schedule'!N7,'Microloan_Schedule'!N7,'Revolver_Schedule'!N7),0)</x:f>
        <x:v>0.6000000000000001</x:v>
      </x:c>
      <x:c r="O11" s="163" t="n">
        <x:f>IFERROR(SUM('IPF_Schedule'!O7,'Microloan_Schedule'!O7,'Revolver_Schedule'!O7),0)</x:f>
        <x:v>0</x:v>
      </x:c>
      <x:c r="P11" s="163" t="n">
        <x:f>IFERROR(SUM('IPF_Schedule'!P7,'Microloan_Schedule'!P7,'Revolver_Schedule'!P7),0)</x:f>
        <x:v>0</x:v>
      </x:c>
      <x:c r="Q11" s="163" t="n">
        <x:f>IFERROR(SUM('IPF_Schedule'!Q7,'Microloan_Schedule'!Q7,'Revolver_Schedule'!Q7),0)</x:f>
        <x:v>0.6000000000000001</x:v>
      </x:c>
      <x:c r="R11" s="163" t="n">
        <x:f>IFERROR(SUM('IPF_Schedule'!R7,'Microloan_Schedule'!R7,'Revolver_Schedule'!R7),0)</x:f>
        <x:v>0</x:v>
      </x:c>
      <x:c r="S11" s="163" t="n">
        <x:f>IFERROR(SUM('IPF_Schedule'!S7,'Microloan_Schedule'!S7,'Revolver_Schedule'!S7),0)</x:f>
        <x:v>0</x:v>
      </x:c>
      <x:c r="T11" s="163" t="n">
        <x:f>IFERROR(SUM('IPF_Schedule'!T7,'Microloan_Schedule'!T7,'Revolver_Schedule'!T7),0)</x:f>
        <x:v>0.6000000000000001</x:v>
      </x:c>
      <x:c r="U11" s="163" t="n">
        <x:f>IFERROR(SUM('IPF_Schedule'!U7,'Microloan_Schedule'!U7,'Revolver_Schedule'!U7),0)</x:f>
        <x:v>0</x:v>
      </x:c>
      <x:c r="V11" s="163" t="n">
        <x:f>IFERROR(SUM('IPF_Schedule'!V7,'Microloan_Schedule'!V7,'Revolver_Schedule'!V7),0)</x:f>
        <x:v>0</x:v>
      </x:c>
      <x:c r="W11" s="163" t="n">
        <x:f>IFERROR(SUM('IPF_Schedule'!W7,'Microloan_Schedule'!W7,'Revolver_Schedule'!W7),0)</x:f>
        <x:v>0.6000000000000001</x:v>
      </x:c>
      <x:c r="X11" s="163" t="n">
        <x:f>IFERROR(SUM('IPF_Schedule'!X7,'Microloan_Schedule'!X7,'Revolver_Schedule'!X7),0)</x:f>
        <x:v>0</x:v>
      </x:c>
      <x:c r="Y11" s="163" t="n">
        <x:f>IFERROR(SUM('IPF_Schedule'!Y7,'Microloan_Schedule'!Y7,'Revolver_Schedule'!Y7),0)</x:f>
        <x:v>0</x:v>
      </x:c>
      <x:c r="Z11" s="163" t="n">
        <x:f>IFERROR(SUM('IPF_Schedule'!Z7,'Microloan_Schedule'!Z7,'Revolver_Schedule'!Z7),0)</x:f>
        <x:v>0.6000000000000001</x:v>
      </x:c>
      <x:c r="AA11" s="163" t="n">
        <x:f>IFERROR(SUM('IPF_Schedule'!AA7,'Microloan_Schedule'!AA7,'Revolver_Schedule'!AA7),0)</x:f>
        <x:v>0</x:v>
      </x:c>
      <x:c r="AB11" s="163" t="n">
        <x:f>IFERROR(SUM('IPF_Schedule'!AB7,'Microloan_Schedule'!AB7,'Revolver_Schedule'!AB7),0)</x:f>
        <x:v>0</x:v>
      </x:c>
      <x:c r="AC11" s="163" t="n">
        <x:f>IFERROR(SUM('IPF_Schedule'!AC7,'Microloan_Schedule'!AC7,'Revolver_Schedule'!AC7),0)</x:f>
        <x:v>0.6000000000000001</x:v>
      </x:c>
      <x:c r="AD11" s="163" t="n">
        <x:f>IFERROR(SUM('IPF_Schedule'!AD7,'Microloan_Schedule'!AD7,'Revolver_Schedule'!AD7),0)</x:f>
        <x:v>0</x:v>
      </x:c>
      <x:c r="AE11" s="163" t="n">
        <x:f>IFERROR(SUM('IPF_Schedule'!AE7,'Microloan_Schedule'!AE7,'Revolver_Schedule'!AE7),0)</x:f>
        <x:v>0</x:v>
      </x:c>
      <x:c r="AF11" s="163" t="n">
        <x:f>IFERROR(SUM('IPF_Schedule'!AF7,'Microloan_Schedule'!AF7,'Revolver_Schedule'!AF7),0)</x:f>
        <x:v>0.6000000000000001</x:v>
      </x:c>
      <x:c r="AG11" s="163" t="n">
        <x:f>IFERROR(SUM('IPF_Schedule'!AG7,'Microloan_Schedule'!AG7,'Revolver_Schedule'!AG7),0)</x:f>
        <x:v>0</x:v>
      </x:c>
      <x:c r="AH11" s="163" t="n">
        <x:f>IFERROR(SUM('IPF_Schedule'!AH7,'Microloan_Schedule'!AH7,'Revolver_Schedule'!AH7),0)</x:f>
        <x:v>0</x:v>
      </x:c>
      <x:c r="AI11" s="163" t="n">
        <x:f>IFERROR(SUM('IPF_Schedule'!AI7,'Microloan_Schedule'!AI7,'Revolver_Schedule'!AI7),0)</x:f>
        <x:v>0.6000000000000001</x:v>
      </x:c>
      <x:c r="AJ11" s="163" t="n">
        <x:f>IFERROR(SUM('IPF_Schedule'!AJ7,'Microloan_Schedule'!AJ7,'Revolver_Schedule'!AJ7),0)</x:f>
        <x:v>0</x:v>
      </x:c>
      <x:c r="AK11" s="163" t="n">
        <x:f>IFERROR(SUM('IPF_Schedule'!AK7,'Microloan_Schedule'!AK7,'Revolver_Schedule'!AK7),0)</x:f>
        <x:v>0</x:v>
      </x:c>
      <x:c r="AL11" s="163" t="n">
        <x:f>IFERROR(SUM('IPF_Schedule'!AL7,'Microloan_Schedule'!AL7,'Revolver_Schedule'!AL7),0)</x:f>
        <x:v>0.6000000000000001</x:v>
      </x:c>
      <x:c r="AM11" s="163" t="n">
        <x:f>IFERROR(SUM('IPF_Schedule'!AM7,'Microloan_Schedule'!AM7,'Revolver_Schedule'!AM7),0)</x:f>
        <x:v>0</x:v>
      </x:c>
      <x:c r="AN11" s="163" t="n">
        <x:f>IFERROR(SUM('IPF_Schedule'!AN7,'Microloan_Schedule'!AN7,'Revolver_Schedule'!AN7),0)</x:f>
        <x:v>0</x:v>
      </x:c>
    </x:row>
    <x:row r="12">
      <x:c r="A12" s="161" t="str">
        <x:v>Expected loss</x:v>
      </x:c>
      <x:c r="B12" s="146" t="str">
        <x:v>%</x:v>
      </x:c>
      <x:c r="C12" s="163" t="n">
        <x:f>IFERROR(C9/C5,0)</x:f>
        <x:v>0.006641896897393111</x:v>
      </x:c>
      <x:c r="D12" s="163" t="n">
        <x:f>IFERROR(D9/D5,0)</x:f>
        <x:v>0</x:v>
      </x:c>
      <x:c r="E12" s="163" t="n">
        <x:f>IFERROR(SUM('IPF_Schedule'!E8,'Microloan_Schedule'!E8,'Revolver_Schedule'!E8),0)</x:f>
        <x:v>0.132</x:v>
      </x:c>
      <x:c r="F12" s="163" t="n">
        <x:f>IFERROR(SUM('IPF_Schedule'!F8,'Microloan_Schedule'!F8,'Revolver_Schedule'!F8),0)</x:f>
        <x:v>0</x:v>
      </x:c>
      <x:c r="G12" s="163" t="n">
        <x:f>IFERROR(SUM('IPF_Schedule'!G8,'Microloan_Schedule'!G8,'Revolver_Schedule'!G8),0)</x:f>
        <x:v>0</x:v>
      </x:c>
      <x:c r="H12" s="163" t="n">
        <x:f>IFERROR(SUM('IPF_Schedule'!H8,'Microloan_Schedule'!H8,'Revolver_Schedule'!H8),0)</x:f>
        <x:v>0.132</x:v>
      </x:c>
      <x:c r="I12" s="163" t="n">
        <x:f>IFERROR(SUM('IPF_Schedule'!I8,'Microloan_Schedule'!I8,'Revolver_Schedule'!I8),0)</x:f>
        <x:v>0</x:v>
      </x:c>
      <x:c r="J12" s="163" t="n">
        <x:f>IFERROR(SUM('IPF_Schedule'!J8,'Microloan_Schedule'!J8,'Revolver_Schedule'!J8),0)</x:f>
        <x:v>0</x:v>
      </x:c>
      <x:c r="K12" s="163" t="n">
        <x:f>IFERROR(SUM('IPF_Schedule'!K8,'Microloan_Schedule'!K8,'Revolver_Schedule'!K8),0)</x:f>
        <x:v>0.132</x:v>
      </x:c>
      <x:c r="L12" s="163" t="n">
        <x:f>IFERROR(SUM('IPF_Schedule'!L8,'Microloan_Schedule'!L8,'Revolver_Schedule'!L8),0)</x:f>
        <x:v>0</x:v>
      </x:c>
      <x:c r="M12" s="163" t="n">
        <x:f>IFERROR(SUM('IPF_Schedule'!M8,'Microloan_Schedule'!M8,'Revolver_Schedule'!M8),0)</x:f>
        <x:v>0</x:v>
      </x:c>
      <x:c r="N12" s="163" t="n">
        <x:f>IFERROR(SUM('IPF_Schedule'!N8,'Microloan_Schedule'!N8,'Revolver_Schedule'!N8),0)</x:f>
        <x:v>0.132</x:v>
      </x:c>
      <x:c r="O12" s="163" t="n">
        <x:f>IFERROR(SUM('IPF_Schedule'!O8,'Microloan_Schedule'!O8,'Revolver_Schedule'!O8),0)</x:f>
        <x:v>0</x:v>
      </x:c>
      <x:c r="P12" s="163" t="n">
        <x:f>IFERROR(SUM('IPF_Schedule'!P8,'Microloan_Schedule'!P8,'Revolver_Schedule'!P8),0)</x:f>
        <x:v>0</x:v>
      </x:c>
      <x:c r="Q12" s="163" t="n">
        <x:f>IFERROR(SUM('IPF_Schedule'!Q8,'Microloan_Schedule'!Q8,'Revolver_Schedule'!Q8),0)</x:f>
        <x:v>0.132</x:v>
      </x:c>
      <x:c r="R12" s="163" t="n">
        <x:f>IFERROR(SUM('IPF_Schedule'!R8,'Microloan_Schedule'!R8,'Revolver_Schedule'!R8),0)</x:f>
        <x:v>0</x:v>
      </x:c>
      <x:c r="S12" s="163" t="n">
        <x:f>IFERROR(SUM('IPF_Schedule'!S8,'Microloan_Schedule'!S8,'Revolver_Schedule'!S8),0)</x:f>
        <x:v>0</x:v>
      </x:c>
      <x:c r="T12" s="163" t="n">
        <x:f>IFERROR(SUM('IPF_Schedule'!T8,'Microloan_Schedule'!T8,'Revolver_Schedule'!T8),0)</x:f>
        <x:v>0.132</x:v>
      </x:c>
      <x:c r="U12" s="163" t="n">
        <x:f>IFERROR(SUM('IPF_Schedule'!U8,'Microloan_Schedule'!U8,'Revolver_Schedule'!U8),0)</x:f>
        <x:v>0</x:v>
      </x:c>
      <x:c r="V12" s="163" t="n">
        <x:f>IFERROR(SUM('IPF_Schedule'!V8,'Microloan_Schedule'!V8,'Revolver_Schedule'!V8),0)</x:f>
        <x:v>0</x:v>
      </x:c>
      <x:c r="W12" s="163" t="n">
        <x:f>IFERROR(SUM('IPF_Schedule'!W8,'Microloan_Schedule'!W8,'Revolver_Schedule'!W8),0)</x:f>
        <x:v>0.132</x:v>
      </x:c>
      <x:c r="X12" s="163" t="n">
        <x:f>IFERROR(SUM('IPF_Schedule'!X8,'Microloan_Schedule'!X8,'Revolver_Schedule'!X8),0)</x:f>
        <x:v>0</x:v>
      </x:c>
      <x:c r="Y12" s="163" t="n">
        <x:f>IFERROR(SUM('IPF_Schedule'!Y8,'Microloan_Schedule'!Y8,'Revolver_Schedule'!Y8),0)</x:f>
        <x:v>0</x:v>
      </x:c>
      <x:c r="Z12" s="163" t="n">
        <x:f>IFERROR(SUM('IPF_Schedule'!Z8,'Microloan_Schedule'!Z8,'Revolver_Schedule'!Z8),0)</x:f>
        <x:v>0.132</x:v>
      </x:c>
      <x:c r="AA12" s="163" t="n">
        <x:f>IFERROR(SUM('IPF_Schedule'!AA8,'Microloan_Schedule'!AA8,'Revolver_Schedule'!AA8),0)</x:f>
        <x:v>0</x:v>
      </x:c>
      <x:c r="AB12" s="163" t="n">
        <x:f>IFERROR(SUM('IPF_Schedule'!AB8,'Microloan_Schedule'!AB8,'Revolver_Schedule'!AB8),0)</x:f>
        <x:v>0</x:v>
      </x:c>
      <x:c r="AC12" s="163" t="n">
        <x:f>IFERROR(SUM('IPF_Schedule'!AC8,'Microloan_Schedule'!AC8,'Revolver_Schedule'!AC8),0)</x:f>
        <x:v>0.132</x:v>
      </x:c>
      <x:c r="AD12" s="163" t="n">
        <x:f>IFERROR(SUM('IPF_Schedule'!AD8,'Microloan_Schedule'!AD8,'Revolver_Schedule'!AD8),0)</x:f>
        <x:v>0</x:v>
      </x:c>
      <x:c r="AE12" s="163" t="n">
        <x:f>IFERROR(SUM('IPF_Schedule'!AE8,'Microloan_Schedule'!AE8,'Revolver_Schedule'!AE8),0)</x:f>
        <x:v>0</x:v>
      </x:c>
      <x:c r="AF12" s="163" t="n">
        <x:f>IFERROR(SUM('IPF_Schedule'!AF8,'Microloan_Schedule'!AF8,'Revolver_Schedule'!AF8),0)</x:f>
        <x:v>0.132</x:v>
      </x:c>
      <x:c r="AG12" s="163" t="n">
        <x:f>IFERROR(SUM('IPF_Schedule'!AG8,'Microloan_Schedule'!AG8,'Revolver_Schedule'!AG8),0)</x:f>
        <x:v>0</x:v>
      </x:c>
      <x:c r="AH12" s="163" t="n">
        <x:f>IFERROR(SUM('IPF_Schedule'!AH8,'Microloan_Schedule'!AH8,'Revolver_Schedule'!AH8),0)</x:f>
        <x:v>0</x:v>
      </x:c>
      <x:c r="AI12" s="163" t="n">
        <x:f>IFERROR(SUM('IPF_Schedule'!AI8,'Microloan_Schedule'!AI8,'Revolver_Schedule'!AI8),0)</x:f>
        <x:v>0.132</x:v>
      </x:c>
      <x:c r="AJ12" s="163" t="n">
        <x:f>IFERROR(SUM('IPF_Schedule'!AJ8,'Microloan_Schedule'!AJ8,'Revolver_Schedule'!AJ8),0)</x:f>
        <x:v>0</x:v>
      </x:c>
      <x:c r="AK12" s="163" t="n">
        <x:f>IFERROR(SUM('IPF_Schedule'!AK8,'Microloan_Schedule'!AK8,'Revolver_Schedule'!AK8),0)</x:f>
        <x:v>0</x:v>
      </x:c>
      <x:c r="AL12" s="163" t="n">
        <x:f>IFERROR(SUM('IPF_Schedule'!AL8,'Microloan_Schedule'!AL8,'Revolver_Schedule'!AL8),0)</x:f>
        <x:v>0.132</x:v>
      </x:c>
      <x:c r="AM12" s="163" t="n">
        <x:f>IFERROR(SUM('IPF_Schedule'!AM8,'Microloan_Schedule'!AM8,'Revolver_Schedule'!AM8),0)</x:f>
        <x:v>0</x:v>
      </x:c>
      <x:c r="AN12" s="163" t="n">
        <x:f>IFERROR(SUM('IPF_Schedule'!AN8,'Microloan_Schedule'!AN8,'Revolver_Schedule'!AN8),0)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</x:cols>
  <x:sheetData>
    <x:row r="1" ht="28" customHeight="1">
      <x:c r="A1" s="144" t="str">
        <x:v>SPV Cash Flow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</x:row>
    <x:row r="2">
      <x:c r="A2" s="145" t="str">
        <x:v>Monthly KES cash roll-forward before and after waterfall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</x:row>
    <x:row r="4">
      <x:c r="A4" s="150" t="str">
        <x:v>Metric</x:v>
      </x:c>
      <x:c r="B4" s="150" t="str">
        <x:v>Unit</x:v>
      </x:c>
      <x:c r="C4" s="150" t="str">
        <x:v>Base</x:v>
      </x:c>
      <x:c r="D4" s="150" t="str">
        <x:v>M01</x:v>
      </x:c>
      <x:c r="E4" s="150" t="str">
        <x:v>M02</x:v>
      </x:c>
      <x:c r="F4" s="150" t="str">
        <x:v>M03</x:v>
      </x:c>
      <x:c r="G4" s="150" t="str">
        <x:v>M04</x:v>
      </x:c>
      <x:c r="H4" s="150" t="str">
        <x:v>M05</x:v>
      </x:c>
      <x:c r="I4" s="150" t="str">
        <x:v>M06</x:v>
      </x:c>
      <x:c r="J4" s="150" t="str">
        <x:v>M07</x:v>
      </x:c>
      <x:c r="K4" s="150" t="str">
        <x:v>M08</x:v>
      </x:c>
      <x:c r="L4" s="150" t="str">
        <x:v>M09</x:v>
      </x:c>
      <x:c r="M4" s="150" t="str">
        <x:v>M10</x:v>
      </x:c>
      <x:c r="N4" s="150" t="str">
        <x:v>M11</x:v>
      </x:c>
      <x:c r="O4" s="150" t="str">
        <x:v>M12</x:v>
      </x:c>
      <x:c r="P4" s="150" t="str">
        <x:v>M13</x:v>
      </x:c>
      <x:c r="Q4" s="150" t="str">
        <x:v>M14</x:v>
      </x:c>
      <x:c r="R4" s="150" t="str">
        <x:v>M15</x:v>
      </x:c>
      <x:c r="S4" s="150" t="str">
        <x:v>M16</x:v>
      </x:c>
      <x:c r="T4" s="150" t="str">
        <x:v>M17</x:v>
      </x:c>
      <x:c r="U4" s="150" t="str">
        <x:v>M18</x:v>
      </x:c>
      <x:c r="V4" s="150" t="str">
        <x:v>M19</x:v>
      </x:c>
      <x:c r="W4" s="150" t="str">
        <x:v>M20</x:v>
      </x:c>
      <x:c r="X4" s="150" t="str">
        <x:v>M21</x:v>
      </x:c>
      <x:c r="Y4" s="150" t="str">
        <x:v>M22</x:v>
      </x:c>
      <x:c r="Z4" s="150" t="str">
        <x:v>M23</x:v>
      </x:c>
      <x:c r="AA4" s="150" t="str">
        <x:v>M24</x:v>
      </x:c>
      <x:c r="AB4" s="150" t="str">
        <x:v>M25</x:v>
      </x:c>
      <x:c r="AC4" s="150" t="str">
        <x:v>M26</x:v>
      </x:c>
      <x:c r="AD4" s="150" t="str">
        <x:v>M27</x:v>
      </x:c>
      <x:c r="AE4" s="150" t="str">
        <x:v>M28</x:v>
      </x:c>
      <x:c r="AF4" s="150" t="str">
        <x:v>M29</x:v>
      </x:c>
      <x:c r="AG4" s="150" t="str">
        <x:v>M30</x:v>
      </x:c>
      <x:c r="AH4" s="150" t="str">
        <x:v>M31</x:v>
      </x:c>
      <x:c r="AI4" s="150" t="str">
        <x:v>M32</x:v>
      </x:c>
      <x:c r="AJ4" s="150" t="str">
        <x:v>M33</x:v>
      </x:c>
      <x:c r="AK4" s="150" t="str">
        <x:v>M34</x:v>
      </x:c>
      <x:c r="AL4" s="150" t="str">
        <x:v>M35</x:v>
      </x:c>
      <x:c r="AM4" s="150" t="str">
        <x:v>M36</x:v>
      </x:c>
    </x:row>
    <x:row r="5">
      <x:c r="A5" s="161" t="str">
        <x:v>Beginning cash</x:v>
      </x:c>
      <x:c r="B5" s="146" t="str">
        <x:v>KES</x:v>
      </x:c>
      <x:c r="C5" s="162" t="n">
        <x:f>0</x:f>
        <x:v>0</x:v>
      </x:c>
      <x:c r="D5" s="162" t="n">
        <x:f>C5</x:f>
        <x:v>0</x:v>
      </x:c>
      <x:c r="E5" s="162" t="n">
        <x:f>D5</x:f>
        <x:v>0</x:v>
      </x:c>
      <x:c r="F5" s="162" t="n">
        <x:f>E5</x:f>
        <x:v>0</x:v>
      </x:c>
      <x:c r="G5" s="162" t="n">
        <x:f>F5</x:f>
        <x:v>0</x:v>
      </x:c>
      <x:c r="H5" s="162" t="n">
        <x:f>G5</x:f>
        <x:v>0</x:v>
      </x:c>
      <x:c r="I5" s="162" t="n">
        <x:f>H5</x:f>
        <x:v>0</x:v>
      </x:c>
      <x:c r="J5" s="162" t="n">
        <x:f>I5</x:f>
        <x:v>0</x:v>
      </x:c>
      <x:c r="K5" s="162" t="n">
        <x:f>J5</x:f>
        <x:v>0</x:v>
      </x:c>
      <x:c r="L5" s="162" t="n">
        <x:f>K5</x:f>
        <x:v>0</x:v>
      </x:c>
      <x:c r="M5" s="162" t="n">
        <x:f>L5</x:f>
        <x:v>0</x:v>
      </x:c>
      <x:c r="N5" s="162" t="n">
        <x:f>M5</x:f>
        <x:v>0</x:v>
      </x:c>
      <x:c r="O5" s="162" t="n">
        <x:f>N5</x:f>
        <x:v>0</x:v>
      </x:c>
      <x:c r="P5" s="162" t="n">
        <x:f>O5</x:f>
        <x:v>0</x:v>
      </x:c>
      <x:c r="Q5" s="162" t="n">
        <x:f>P5</x:f>
        <x:v>0</x:v>
      </x:c>
      <x:c r="R5" s="162" t="n">
        <x:f>Q5</x:f>
        <x:v>0</x:v>
      </x:c>
      <x:c r="S5" s="162" t="n">
        <x:f>R5</x:f>
        <x:v>0</x:v>
      </x:c>
      <x:c r="T5" s="162" t="n">
        <x:f>S5</x:f>
        <x:v>0</x:v>
      </x:c>
      <x:c r="U5" s="162" t="n">
        <x:f>T5</x:f>
        <x:v>0</x:v>
      </x:c>
      <x:c r="V5" s="162" t="n">
        <x:f>U5</x:f>
        <x:v>0</x:v>
      </x:c>
      <x:c r="W5" s="162" t="n">
        <x:f>V5</x:f>
        <x:v>0</x:v>
      </x:c>
      <x:c r="X5" s="162" t="n">
        <x:f>W5</x:f>
        <x:v>0</x:v>
      </x:c>
      <x:c r="Y5" s="162" t="n">
        <x:f>X5</x:f>
        <x:v>0</x:v>
      </x:c>
      <x:c r="Z5" s="162" t="n">
        <x:f>Y5</x:f>
        <x:v>0</x:v>
      </x:c>
      <x:c r="AA5" s="162" t="n">
        <x:f>Z5</x:f>
        <x:v>0</x:v>
      </x:c>
      <x:c r="AB5" s="162" t="n">
        <x:f>AA5</x:f>
        <x:v>0</x:v>
      </x:c>
      <x:c r="AC5" s="162" t="n">
        <x:f>AB5</x:f>
        <x:v>0</x:v>
      </x:c>
      <x:c r="AD5" s="162" t="n">
        <x:f>AC5</x:f>
        <x:v>0</x:v>
      </x:c>
      <x:c r="AE5" s="162" t="n">
        <x:f>AD5</x:f>
        <x:v>0</x:v>
      </x:c>
      <x:c r="AF5" s="162" t="n">
        <x:f>AE5</x:f>
        <x:v>0</x:v>
      </x:c>
      <x:c r="AG5" s="162" t="n">
        <x:f>AF5</x:f>
        <x:v>0</x:v>
      </x:c>
      <x:c r="AH5" s="162" t="n">
        <x:f>AG5</x:f>
        <x:v>0</x:v>
      </x:c>
      <x:c r="AI5" s="162" t="n">
        <x:f>AH5</x:f>
        <x:v>0</x:v>
      </x:c>
      <x:c r="AJ5" s="162" t="n">
        <x:f>AI5</x:f>
        <x:v>0</x:v>
      </x:c>
      <x:c r="AK5" s="162" t="n">
        <x:f>AJ5</x:f>
        <x:v>0</x:v>
      </x:c>
      <x:c r="AL5" s="162" t="n">
        <x:f>AK5</x:f>
        <x:v>0</x:v>
      </x:c>
      <x:c r="AM5" s="162" t="n">
        <x:f>AL5</x:f>
        <x:v>0</x:v>
      </x:c>
    </x:row>
    <x:row r="6">
      <x:c r="A6" s="161" t="str">
        <x:v>Principal collections</x:v>
      </x:c>
      <x:c r="B6" s="146" t="str">
        <x:v>KES</x:v>
      </x:c>
      <x:c r="C6" s="162" t="n">
        <x:f>'Collections_Losses'!D6</x:f>
        <x:v>1407326400</x:v>
      </x:c>
      <x:c r="D6" s="162" t="n">
        <x:f>C6</x:f>
        <x:v>1407326400</x:v>
      </x:c>
      <x:c r="E6" s="162" t="n">
        <x:f>D6</x:f>
        <x:v>1407326400</x:v>
      </x:c>
      <x:c r="F6" s="162" t="n">
        <x:f>E6</x:f>
        <x:v>1407326400</x:v>
      </x:c>
      <x:c r="G6" s="162" t="n">
        <x:f>F6</x:f>
        <x:v>1407326400</x:v>
      </x:c>
      <x:c r="H6" s="162" t="n">
        <x:f>G6</x:f>
        <x:v>1407326400</x:v>
      </x:c>
      <x:c r="I6" s="162" t="n">
        <x:f>H6</x:f>
        <x:v>1407326400</x:v>
      </x:c>
      <x:c r="J6" s="162" t="n">
        <x:f>I6</x:f>
        <x:v>1407326400</x:v>
      </x:c>
      <x:c r="K6" s="162" t="n">
        <x:f>J6</x:f>
        <x:v>1407326400</x:v>
      </x:c>
      <x:c r="L6" s="162" t="n">
        <x:f>K6</x:f>
        <x:v>1407326400</x:v>
      </x:c>
      <x:c r="M6" s="162" t="n">
        <x:f>L6</x:f>
        <x:v>1407326400</x:v>
      </x:c>
      <x:c r="N6" s="162" t="n">
        <x:f>M6</x:f>
        <x:v>1407326400</x:v>
      </x:c>
      <x:c r="O6" s="162" t="n">
        <x:f>N6</x:f>
        <x:v>1407326400</x:v>
      </x:c>
      <x:c r="P6" s="162" t="n">
        <x:f>O6</x:f>
        <x:v>1407326400</x:v>
      </x:c>
      <x:c r="Q6" s="162" t="n">
        <x:f>P6</x:f>
        <x:v>1407326400</x:v>
      </x:c>
      <x:c r="R6" s="162" t="n">
        <x:f>Q6</x:f>
        <x:v>1407326400</x:v>
      </x:c>
      <x:c r="S6" s="162" t="n">
        <x:f>R6</x:f>
        <x:v>1407326400</x:v>
      </x:c>
      <x:c r="T6" s="162" t="n">
        <x:f>S6</x:f>
        <x:v>1407326400</x:v>
      </x:c>
      <x:c r="U6" s="162" t="n">
        <x:f>T6</x:f>
        <x:v>1407326400</x:v>
      </x:c>
      <x:c r="V6" s="162" t="n">
        <x:f>U6</x:f>
        <x:v>1407326400</x:v>
      </x:c>
      <x:c r="W6" s="162" t="n">
        <x:f>V6</x:f>
        <x:v>1407326400</x:v>
      </x:c>
      <x:c r="X6" s="162" t="n">
        <x:f>W6</x:f>
        <x:v>1407326400</x:v>
      </x:c>
      <x:c r="Y6" s="162" t="n">
        <x:f>X6</x:f>
        <x:v>1407326400</x:v>
      </x:c>
      <x:c r="Z6" s="162" t="n">
        <x:f>Y6</x:f>
        <x:v>1407326400</x:v>
      </x:c>
      <x:c r="AA6" s="162" t="n">
        <x:f>Z6</x:f>
        <x:v>1407326400</x:v>
      </x:c>
      <x:c r="AB6" s="162" t="n">
        <x:f>AA6</x:f>
        <x:v>1407326400</x:v>
      </x:c>
      <x:c r="AC6" s="162" t="n">
        <x:f>AB6</x:f>
        <x:v>1407326400</x:v>
      </x:c>
      <x:c r="AD6" s="162" t="n">
        <x:f>AC6</x:f>
        <x:v>1407326400</x:v>
      </x:c>
      <x:c r="AE6" s="162" t="n">
        <x:f>AD6</x:f>
        <x:v>1407326400</x:v>
      </x:c>
      <x:c r="AF6" s="162" t="n">
        <x:f>AE6</x:f>
        <x:v>1407326400</x:v>
      </x:c>
      <x:c r="AG6" s="162" t="n">
        <x:f>AF6</x:f>
        <x:v>1407326400</x:v>
      </x:c>
      <x:c r="AH6" s="162" t="n">
        <x:f>AG6</x:f>
        <x:v>1407326400</x:v>
      </x:c>
      <x:c r="AI6" s="162" t="n">
        <x:f>AH6</x:f>
        <x:v>1407326400</x:v>
      </x:c>
      <x:c r="AJ6" s="162" t="n">
        <x:f>AI6</x:f>
        <x:v>1407326400</x:v>
      </x:c>
      <x:c r="AK6" s="162" t="n">
        <x:f>AJ6</x:f>
        <x:v>1407326400</x:v>
      </x:c>
      <x:c r="AL6" s="162" t="n">
        <x:f>AK6</x:f>
        <x:v>1407326400</x:v>
      </x:c>
      <x:c r="AM6" s="162" t="n">
        <x:f>AL6</x:f>
        <x:v>1407326400</x:v>
      </x:c>
    </x:row>
    <x:row r="7">
      <x:c r="A7" s="161" t="str">
        <x:v>Interest collections</x:v>
      </x:c>
      <x:c r="B7" s="146" t="str">
        <x:v>KES</x:v>
      </x:c>
      <x:c r="C7" s="162" t="n">
        <x:f>'Collections_Losses'!D7</x:f>
        <x:v>5447401632235.631</x:v>
      </x:c>
      <x:c r="D7" s="162" t="n">
        <x:f>C7</x:f>
        <x:v>5447401632235.631</x:v>
      </x:c>
      <x:c r="E7" s="162" t="n">
        <x:f>D7</x:f>
        <x:v>5447401632235.631</x:v>
      </x:c>
      <x:c r="F7" s="162" t="n">
        <x:f>E7</x:f>
        <x:v>5447401632235.631</x:v>
      </x:c>
      <x:c r="G7" s="162" t="n">
        <x:f>F7</x:f>
        <x:v>5447401632235.631</x:v>
      </x:c>
      <x:c r="H7" s="162" t="n">
        <x:f>G7</x:f>
        <x:v>5447401632235.631</x:v>
      </x:c>
      <x:c r="I7" s="162" t="n">
        <x:f>H7</x:f>
        <x:v>5447401632235.631</x:v>
      </x:c>
      <x:c r="J7" s="162" t="n">
        <x:f>I7</x:f>
        <x:v>5447401632235.631</x:v>
      </x:c>
      <x:c r="K7" s="162" t="n">
        <x:f>J7</x:f>
        <x:v>5447401632235.631</x:v>
      </x:c>
      <x:c r="L7" s="162" t="n">
        <x:f>K7</x:f>
        <x:v>5447401632235.631</x:v>
      </x:c>
      <x:c r="M7" s="162" t="n">
        <x:f>L7</x:f>
        <x:v>5447401632235.631</x:v>
      </x:c>
      <x:c r="N7" s="162" t="n">
        <x:f>M7</x:f>
        <x:v>5447401632235.631</x:v>
      </x:c>
      <x:c r="O7" s="162" t="n">
        <x:f>N7</x:f>
        <x:v>5447401632235.631</x:v>
      </x:c>
      <x:c r="P7" s="162" t="n">
        <x:f>O7</x:f>
        <x:v>5447401632235.631</x:v>
      </x:c>
      <x:c r="Q7" s="162" t="n">
        <x:f>P7</x:f>
        <x:v>5447401632235.631</x:v>
      </x:c>
      <x:c r="R7" s="162" t="n">
        <x:f>Q7</x:f>
        <x:v>5447401632235.631</x:v>
      </x:c>
      <x:c r="S7" s="162" t="n">
        <x:f>R7</x:f>
        <x:v>5447401632235.631</x:v>
      </x:c>
      <x:c r="T7" s="162" t="n">
        <x:f>S7</x:f>
        <x:v>5447401632235.631</x:v>
      </x:c>
      <x:c r="U7" s="162" t="n">
        <x:f>T7</x:f>
        <x:v>5447401632235.631</x:v>
      </x:c>
      <x:c r="V7" s="162" t="n">
        <x:f>U7</x:f>
        <x:v>5447401632235.631</x:v>
      </x:c>
      <x:c r="W7" s="162" t="n">
        <x:f>V7</x:f>
        <x:v>5447401632235.631</x:v>
      </x:c>
      <x:c r="X7" s="162" t="n">
        <x:f>W7</x:f>
        <x:v>5447401632235.631</x:v>
      </x:c>
      <x:c r="Y7" s="162" t="n">
        <x:f>X7</x:f>
        <x:v>5447401632235.631</x:v>
      </x:c>
      <x:c r="Z7" s="162" t="n">
        <x:f>Y7</x:f>
        <x:v>5447401632235.631</x:v>
      </x:c>
      <x:c r="AA7" s="162" t="n">
        <x:f>Z7</x:f>
        <x:v>5447401632235.631</x:v>
      </x:c>
      <x:c r="AB7" s="162" t="n">
        <x:f>AA7</x:f>
        <x:v>5447401632235.631</x:v>
      </x:c>
      <x:c r="AC7" s="162" t="n">
        <x:f>AB7</x:f>
        <x:v>5447401632235.631</x:v>
      </x:c>
      <x:c r="AD7" s="162" t="n">
        <x:f>AC7</x:f>
        <x:v>5447401632235.631</x:v>
      </x:c>
      <x:c r="AE7" s="162" t="n">
        <x:f>AD7</x:f>
        <x:v>5447401632235.631</x:v>
      </x:c>
      <x:c r="AF7" s="162" t="n">
        <x:f>AE7</x:f>
        <x:v>5447401632235.631</x:v>
      </x:c>
      <x:c r="AG7" s="162" t="n">
        <x:f>AF7</x:f>
        <x:v>5447401632235.631</x:v>
      </x:c>
      <x:c r="AH7" s="162" t="n">
        <x:f>AG7</x:f>
        <x:v>5447401632235.631</x:v>
      </x:c>
      <x:c r="AI7" s="162" t="n">
        <x:f>AH7</x:f>
        <x:v>5447401632235.631</x:v>
      </x:c>
      <x:c r="AJ7" s="162" t="n">
        <x:f>AI7</x:f>
        <x:v>5447401632235.631</x:v>
      </x:c>
      <x:c r="AK7" s="162" t="n">
        <x:f>AJ7</x:f>
        <x:v>5447401632235.631</x:v>
      </x:c>
      <x:c r="AL7" s="162" t="n">
        <x:f>AK7</x:f>
        <x:v>5447401632235.631</x:v>
      </x:c>
      <x:c r="AM7" s="162" t="n">
        <x:f>AL7</x:f>
        <x:v>5447401632235.631</x:v>
      </x:c>
    </x:row>
    <x:row r="8">
      <x:c r="A8" s="161" t="str">
        <x:v>Recoveries</x:v>
      </x:c>
      <x:c r="B8" s="146" t="str">
        <x:v>KES</x:v>
      </x:c>
      <x:c r="C8" s="162" t="n">
        <x:f>'Collections_Losses'!D8</x:f>
        <x:v>111326400</x:v>
      </x:c>
      <x:c r="D8" s="162" t="n">
        <x:f>C8</x:f>
        <x:v>111326400</x:v>
      </x:c>
      <x:c r="E8" s="162" t="n">
        <x:f>D8</x:f>
        <x:v>111326400</x:v>
      </x:c>
      <x:c r="F8" s="162" t="n">
        <x:f>E8</x:f>
        <x:v>111326400</x:v>
      </x:c>
      <x:c r="G8" s="162" t="n">
        <x:f>F8</x:f>
        <x:v>111326400</x:v>
      </x:c>
      <x:c r="H8" s="162" t="n">
        <x:f>G8</x:f>
        <x:v>111326400</x:v>
      </x:c>
      <x:c r="I8" s="162" t="n">
        <x:f>H8</x:f>
        <x:v>111326400</x:v>
      </x:c>
      <x:c r="J8" s="162" t="n">
        <x:f>I8</x:f>
        <x:v>111326400</x:v>
      </x:c>
      <x:c r="K8" s="162" t="n">
        <x:f>J8</x:f>
        <x:v>111326400</x:v>
      </x:c>
      <x:c r="L8" s="162" t="n">
        <x:f>K8</x:f>
        <x:v>111326400</x:v>
      </x:c>
      <x:c r="M8" s="162" t="n">
        <x:f>L8</x:f>
        <x:v>111326400</x:v>
      </x:c>
      <x:c r="N8" s="162" t="n">
        <x:f>M8</x:f>
        <x:v>111326400</x:v>
      </x:c>
      <x:c r="O8" s="162" t="n">
        <x:f>N8</x:f>
        <x:v>111326400</x:v>
      </x:c>
      <x:c r="P8" s="162" t="n">
        <x:f>O8</x:f>
        <x:v>111326400</x:v>
      </x:c>
      <x:c r="Q8" s="162" t="n">
        <x:f>P8</x:f>
        <x:v>111326400</x:v>
      </x:c>
      <x:c r="R8" s="162" t="n">
        <x:f>Q8</x:f>
        <x:v>111326400</x:v>
      </x:c>
      <x:c r="S8" s="162" t="n">
        <x:f>R8</x:f>
        <x:v>111326400</x:v>
      </x:c>
      <x:c r="T8" s="162" t="n">
        <x:f>S8</x:f>
        <x:v>111326400</x:v>
      </x:c>
      <x:c r="U8" s="162" t="n">
        <x:f>T8</x:f>
        <x:v>111326400</x:v>
      </x:c>
      <x:c r="V8" s="162" t="n">
        <x:f>U8</x:f>
        <x:v>111326400</x:v>
      </x:c>
      <x:c r="W8" s="162" t="n">
        <x:f>V8</x:f>
        <x:v>111326400</x:v>
      </x:c>
      <x:c r="X8" s="162" t="n">
        <x:f>W8</x:f>
        <x:v>111326400</x:v>
      </x:c>
      <x:c r="Y8" s="162" t="n">
        <x:f>X8</x:f>
        <x:v>111326400</x:v>
      </x:c>
      <x:c r="Z8" s="162" t="n">
        <x:f>Y8</x:f>
        <x:v>111326400</x:v>
      </x:c>
      <x:c r="AA8" s="162" t="n">
        <x:f>Z8</x:f>
        <x:v>111326400</x:v>
      </x:c>
      <x:c r="AB8" s="162" t="n">
        <x:f>AA8</x:f>
        <x:v>111326400</x:v>
      </x:c>
      <x:c r="AC8" s="162" t="n">
        <x:f>AB8</x:f>
        <x:v>111326400</x:v>
      </x:c>
      <x:c r="AD8" s="162" t="n">
        <x:f>AC8</x:f>
        <x:v>111326400</x:v>
      </x:c>
      <x:c r="AE8" s="162" t="n">
        <x:f>AD8</x:f>
        <x:v>111326400</x:v>
      </x:c>
      <x:c r="AF8" s="162" t="n">
        <x:f>AE8</x:f>
        <x:v>111326400</x:v>
      </x:c>
      <x:c r="AG8" s="162" t="n">
        <x:f>AF8</x:f>
        <x:v>111326400</x:v>
      </x:c>
      <x:c r="AH8" s="162" t="n">
        <x:f>AG8</x:f>
        <x:v>111326400</x:v>
      </x:c>
      <x:c r="AI8" s="162" t="n">
        <x:f>AH8</x:f>
        <x:v>111326400</x:v>
      </x:c>
      <x:c r="AJ8" s="162" t="n">
        <x:f>AI8</x:f>
        <x:v>111326400</x:v>
      </x:c>
      <x:c r="AK8" s="162" t="n">
        <x:f>AJ8</x:f>
        <x:v>111326400</x:v>
      </x:c>
      <x:c r="AL8" s="162" t="n">
        <x:f>AK8</x:f>
        <x:v>111326400</x:v>
      </x:c>
      <x:c r="AM8" s="162" t="n">
        <x:f>AL8</x:f>
        <x:v>111326400</x:v>
      </x:c>
    </x:row>
    <x:row r="9">
      <x:c r="A9" s="161" t="str">
        <x:v>New funding</x:v>
      </x:c>
      <x:c r="B9" s="146" t="str">
        <x:v>KES</x:v>
      </x:c>
      <x:c r="C9" s="162" t="n">
        <x:f>'Assumptions'!B5*'Assumptions'!B9</x:f>
        <x:v>6750000</x:v>
      </x:c>
      <x:c r="D9" s="162" t="n">
        <x:f>C9</x:f>
        <x:v>6750000</x:v>
      </x:c>
      <x:c r="E9" s="162" t="n">
        <x:f>D9</x:f>
        <x:v>6750000</x:v>
      </x:c>
      <x:c r="F9" s="162" t="n">
        <x:f>E9</x:f>
        <x:v>6750000</x:v>
      </x:c>
      <x:c r="G9" s="162" t="n">
        <x:f>F9</x:f>
        <x:v>6750000</x:v>
      </x:c>
      <x:c r="H9" s="162" t="n">
        <x:f>G9</x:f>
        <x:v>6750000</x:v>
      </x:c>
      <x:c r="I9" s="162" t="n">
        <x:f>H9</x:f>
        <x:v>6750000</x:v>
      </x:c>
      <x:c r="J9" s="162" t="n">
        <x:f>I9</x:f>
        <x:v>6750000</x:v>
      </x:c>
      <x:c r="K9" s="162" t="n">
        <x:f>J9</x:f>
        <x:v>6750000</x:v>
      </x:c>
      <x:c r="L9" s="162" t="n">
        <x:f>K9</x:f>
        <x:v>6750000</x:v>
      </x:c>
      <x:c r="M9" s="162" t="n">
        <x:f>L9</x:f>
        <x:v>6750000</x:v>
      </x:c>
      <x:c r="N9" s="162" t="n">
        <x:f>M9</x:f>
        <x:v>6750000</x:v>
      </x:c>
      <x:c r="O9" s="162" t="n">
        <x:f>N9</x:f>
        <x:v>6750000</x:v>
      </x:c>
      <x:c r="P9" s="162" t="n">
        <x:f>O9</x:f>
        <x:v>6750000</x:v>
      </x:c>
      <x:c r="Q9" s="162" t="n">
        <x:f>P9</x:f>
        <x:v>6750000</x:v>
      </x:c>
      <x:c r="R9" s="162" t="n">
        <x:f>Q9</x:f>
        <x:v>6750000</x:v>
      </x:c>
      <x:c r="S9" s="162" t="n">
        <x:f>R9</x:f>
        <x:v>6750000</x:v>
      </x:c>
      <x:c r="T9" s="162" t="n">
        <x:f>S9</x:f>
        <x:v>6750000</x:v>
      </x:c>
      <x:c r="U9" s="162" t="n">
        <x:f>T9</x:f>
        <x:v>6750000</x:v>
      </x:c>
      <x:c r="V9" s="162" t="n">
        <x:f>U9</x:f>
        <x:v>6750000</x:v>
      </x:c>
      <x:c r="W9" s="162" t="n">
        <x:f>V9</x:f>
        <x:v>6750000</x:v>
      </x:c>
      <x:c r="X9" s="162" t="n">
        <x:f>W9</x:f>
        <x:v>6750000</x:v>
      </x:c>
      <x:c r="Y9" s="162" t="n">
        <x:f>X9</x:f>
        <x:v>6750000</x:v>
      </x:c>
      <x:c r="Z9" s="162" t="n">
        <x:f>Y9</x:f>
        <x:v>6750000</x:v>
      </x:c>
      <x:c r="AA9" s="162" t="n">
        <x:f>Z9</x:f>
        <x:v>6750000</x:v>
      </x:c>
      <x:c r="AB9" s="162" t="n">
        <x:f>AA9</x:f>
        <x:v>6750000</x:v>
      </x:c>
      <x:c r="AC9" s="162" t="n">
        <x:f>AB9</x:f>
        <x:v>6750000</x:v>
      </x:c>
      <x:c r="AD9" s="162" t="n">
        <x:f>AC9</x:f>
        <x:v>6750000</x:v>
      </x:c>
      <x:c r="AE9" s="162" t="n">
        <x:f>AD9</x:f>
        <x:v>6750000</x:v>
      </x:c>
      <x:c r="AF9" s="162" t="n">
        <x:f>AE9</x:f>
        <x:v>6750000</x:v>
      </x:c>
      <x:c r="AG9" s="162" t="n">
        <x:f>AF9</x:f>
        <x:v>6750000</x:v>
      </x:c>
      <x:c r="AH9" s="162" t="n">
        <x:f>AG9</x:f>
        <x:v>6750000</x:v>
      </x:c>
      <x:c r="AI9" s="162" t="n">
        <x:f>AH9</x:f>
        <x:v>6750000</x:v>
      </x:c>
      <x:c r="AJ9" s="162" t="n">
        <x:f>AI9</x:f>
        <x:v>6750000</x:v>
      </x:c>
      <x:c r="AK9" s="162" t="n">
        <x:f>AJ9</x:f>
        <x:v>6750000</x:v>
      </x:c>
      <x:c r="AL9" s="162" t="n">
        <x:f>AK9</x:f>
        <x:v>6750000</x:v>
      </x:c>
      <x:c r="AM9" s="162" t="n">
        <x:f>AL9</x:f>
        <x:v>6750000</x:v>
      </x:c>
    </x:row>
    <x:row r="10">
      <x:c r="A10" s="161" t="str">
        <x:v>Receivable purchases</x:v>
      </x:c>
      <x:c r="B10" s="146" t="str">
        <x:v>KES</x:v>
      </x:c>
      <x:c r="C10" s="162" t="n">
        <x:f>'Collections_Losses'!D5</x:f>
        <x:v>0</x:v>
      </x:c>
      <x:c r="D10" s="162" t="n">
        <x:f>C10</x:f>
        <x:v>0</x:v>
      </x:c>
      <x:c r="E10" s="162" t="n">
        <x:f>D10</x:f>
        <x:v>0</x:v>
      </x:c>
      <x:c r="F10" s="162" t="n">
        <x:f>E10</x:f>
        <x:v>0</x:v>
      </x:c>
      <x:c r="G10" s="162" t="n">
        <x:f>F10</x:f>
        <x:v>0</x:v>
      </x:c>
      <x:c r="H10" s="162" t="n">
        <x:f>G10</x:f>
        <x:v>0</x:v>
      </x:c>
      <x:c r="I10" s="162" t="n">
        <x:f>H10</x:f>
        <x:v>0</x:v>
      </x:c>
      <x:c r="J10" s="162" t="n">
        <x:f>I10</x:f>
        <x:v>0</x:v>
      </x:c>
      <x:c r="K10" s="162" t="n">
        <x:f>J10</x:f>
        <x:v>0</x:v>
      </x:c>
      <x:c r="L10" s="162" t="n">
        <x:f>K10</x:f>
        <x:v>0</x:v>
      </x:c>
      <x:c r="M10" s="162" t="n">
        <x:f>L10</x:f>
        <x:v>0</x:v>
      </x:c>
      <x:c r="N10" s="162" t="n">
        <x:f>M10</x:f>
        <x:v>0</x:v>
      </x:c>
      <x:c r="O10" s="162" t="n">
        <x:f>N10</x:f>
        <x:v>0</x:v>
      </x:c>
      <x:c r="P10" s="162" t="n">
        <x:f>O10</x:f>
        <x:v>0</x:v>
      </x:c>
      <x:c r="Q10" s="162" t="n">
        <x:f>P10</x:f>
        <x:v>0</x:v>
      </x:c>
      <x:c r="R10" s="162" t="n">
        <x:f>Q10</x:f>
        <x:v>0</x:v>
      </x:c>
      <x:c r="S10" s="162" t="n">
        <x:f>R10</x:f>
        <x:v>0</x:v>
      </x:c>
      <x:c r="T10" s="162" t="n">
        <x:f>S10</x:f>
        <x:v>0</x:v>
      </x:c>
      <x:c r="U10" s="162" t="n">
        <x:f>T10</x:f>
        <x:v>0</x:v>
      </x:c>
      <x:c r="V10" s="162" t="n">
        <x:f>U10</x:f>
        <x:v>0</x:v>
      </x:c>
      <x:c r="W10" s="162" t="n">
        <x:f>V10</x:f>
        <x:v>0</x:v>
      </x:c>
      <x:c r="X10" s="162" t="n">
        <x:f>W10</x:f>
        <x:v>0</x:v>
      </x:c>
      <x:c r="Y10" s="162" t="n">
        <x:f>X10</x:f>
        <x:v>0</x:v>
      </x:c>
      <x:c r="Z10" s="162" t="n">
        <x:f>Y10</x:f>
        <x:v>0</x:v>
      </x:c>
      <x:c r="AA10" s="162" t="n">
        <x:f>Z10</x:f>
        <x:v>0</x:v>
      </x:c>
      <x:c r="AB10" s="162" t="n">
        <x:f>AA10</x:f>
        <x:v>0</x:v>
      </x:c>
      <x:c r="AC10" s="162" t="n">
        <x:f>AB10</x:f>
        <x:v>0</x:v>
      </x:c>
      <x:c r="AD10" s="162" t="n">
        <x:f>AC10</x:f>
        <x:v>0</x:v>
      </x:c>
      <x:c r="AE10" s="162" t="n">
        <x:f>AD10</x:f>
        <x:v>0</x:v>
      </x:c>
      <x:c r="AF10" s="162" t="n">
        <x:f>AE10</x:f>
        <x:v>0</x:v>
      </x:c>
      <x:c r="AG10" s="162" t="n">
        <x:f>AF10</x:f>
        <x:v>0</x:v>
      </x:c>
      <x:c r="AH10" s="162" t="n">
        <x:f>AG10</x:f>
        <x:v>0</x:v>
      </x:c>
      <x:c r="AI10" s="162" t="n">
        <x:f>AH10</x:f>
        <x:v>0</x:v>
      </x:c>
      <x:c r="AJ10" s="162" t="n">
        <x:f>AI10</x:f>
        <x:v>0</x:v>
      </x:c>
      <x:c r="AK10" s="162" t="n">
        <x:f>AJ10</x:f>
        <x:v>0</x:v>
      </x:c>
      <x:c r="AL10" s="162" t="n">
        <x:f>AK10</x:f>
        <x:v>0</x:v>
      </x:c>
      <x:c r="AM10" s="162" t="n">
        <x:f>AL10</x:f>
        <x:v>0</x:v>
      </x:c>
    </x:row>
    <x:row r="11">
      <x:c r="A11" s="161" t="str">
        <x:v>Servicing cost</x:v>
      </x:c>
      <x:c r="B11" s="146" t="str">
        <x:v>KES</x:v>
      </x:c>
      <x:c r="C11" s="162" t="n">
        <x:f>-'Collections_Losses'!D5*'Assumptions'!B15</x:f>
        <x:v>0</x:v>
      </x:c>
      <x:c r="D11" s="162" t="n">
        <x:f>C11</x:f>
        <x:v>0</x:v>
      </x:c>
      <x:c r="E11" s="162" t="n">
        <x:f>D11</x:f>
        <x:v>0</x:v>
      </x:c>
      <x:c r="F11" s="162" t="n">
        <x:f>E11</x:f>
        <x:v>0</x:v>
      </x:c>
      <x:c r="G11" s="162" t="n">
        <x:f>F11</x:f>
        <x:v>0</x:v>
      </x:c>
      <x:c r="H11" s="162" t="n">
        <x:f>G11</x:f>
        <x:v>0</x:v>
      </x:c>
      <x:c r="I11" s="162" t="n">
        <x:f>H11</x:f>
        <x:v>0</x:v>
      </x:c>
      <x:c r="J11" s="162" t="n">
        <x:f>I11</x:f>
        <x:v>0</x:v>
      </x:c>
      <x:c r="K11" s="162" t="n">
        <x:f>J11</x:f>
        <x:v>0</x:v>
      </x:c>
      <x:c r="L11" s="162" t="n">
        <x:f>K11</x:f>
        <x:v>0</x:v>
      </x:c>
      <x:c r="M11" s="162" t="n">
        <x:f>L11</x:f>
        <x:v>0</x:v>
      </x:c>
      <x:c r="N11" s="162" t="n">
        <x:f>M11</x:f>
        <x:v>0</x:v>
      </x:c>
      <x:c r="O11" s="162" t="n">
        <x:f>N11</x:f>
        <x:v>0</x:v>
      </x:c>
      <x:c r="P11" s="162" t="n">
        <x:f>O11</x:f>
        <x:v>0</x:v>
      </x:c>
      <x:c r="Q11" s="162" t="n">
        <x:f>P11</x:f>
        <x:v>0</x:v>
      </x:c>
      <x:c r="R11" s="162" t="n">
        <x:f>Q11</x:f>
        <x:v>0</x:v>
      </x:c>
      <x:c r="S11" s="162" t="n">
        <x:f>R11</x:f>
        <x:v>0</x:v>
      </x:c>
      <x:c r="T11" s="162" t="n">
        <x:f>S11</x:f>
        <x:v>0</x:v>
      </x:c>
      <x:c r="U11" s="162" t="n">
        <x:f>T11</x:f>
        <x:v>0</x:v>
      </x:c>
      <x:c r="V11" s="162" t="n">
        <x:f>U11</x:f>
        <x:v>0</x:v>
      </x:c>
      <x:c r="W11" s="162" t="n">
        <x:f>V11</x:f>
        <x:v>0</x:v>
      </x:c>
      <x:c r="X11" s="162" t="n">
        <x:f>W11</x:f>
        <x:v>0</x:v>
      </x:c>
      <x:c r="Y11" s="162" t="n">
        <x:f>X11</x:f>
        <x:v>0</x:v>
      </x:c>
      <x:c r="Z11" s="162" t="n">
        <x:f>Y11</x:f>
        <x:v>0</x:v>
      </x:c>
      <x:c r="AA11" s="162" t="n">
        <x:f>Z11</x:f>
        <x:v>0</x:v>
      </x:c>
      <x:c r="AB11" s="162" t="n">
        <x:f>AA11</x:f>
        <x:v>0</x:v>
      </x:c>
      <x:c r="AC11" s="162" t="n">
        <x:f>AB11</x:f>
        <x:v>0</x:v>
      </x:c>
      <x:c r="AD11" s="162" t="n">
        <x:f>AC11</x:f>
        <x:v>0</x:v>
      </x:c>
      <x:c r="AE11" s="162" t="n">
        <x:f>AD11</x:f>
        <x:v>0</x:v>
      </x:c>
      <x:c r="AF11" s="162" t="n">
        <x:f>AE11</x:f>
        <x:v>0</x:v>
      </x:c>
      <x:c r="AG11" s="162" t="n">
        <x:f>AF11</x:f>
        <x:v>0</x:v>
      </x:c>
      <x:c r="AH11" s="162" t="n">
        <x:f>AG11</x:f>
        <x:v>0</x:v>
      </x:c>
      <x:c r="AI11" s="162" t="n">
        <x:f>AH11</x:f>
        <x:v>0</x:v>
      </x:c>
      <x:c r="AJ11" s="162" t="n">
        <x:f>AI11</x:f>
        <x:v>0</x:v>
      </x:c>
      <x:c r="AK11" s="162" t="n">
        <x:f>AJ11</x:f>
        <x:v>0</x:v>
      </x:c>
      <x:c r="AL11" s="162" t="n">
        <x:f>AK11</x:f>
        <x:v>0</x:v>
      </x:c>
      <x:c r="AM11" s="162" t="n">
        <x:f>AL11</x:f>
        <x:v>0</x:v>
      </x:c>
    </x:row>
    <x:row r="12">
      <x:c r="A12" s="161" t="str">
        <x:v>Trustee cost</x:v>
      </x:c>
      <x:c r="B12" s="146" t="str">
        <x:v>KES</x:v>
      </x:c>
      <x:c r="C12" s="162" t="n">
        <x:f>-'Collections_Losses'!D5*'Assumptions'!B16</x:f>
        <x:v>0</x:v>
      </x:c>
      <x:c r="D12" s="162" t="n">
        <x:f>C12</x:f>
        <x:v>0</x:v>
      </x:c>
      <x:c r="E12" s="162" t="n">
        <x:f>D12</x:f>
        <x:v>0</x:v>
      </x:c>
      <x:c r="F12" s="162" t="n">
        <x:f>E12</x:f>
        <x:v>0</x:v>
      </x:c>
      <x:c r="G12" s="162" t="n">
        <x:f>F12</x:f>
        <x:v>0</x:v>
      </x:c>
      <x:c r="H12" s="162" t="n">
        <x:f>G12</x:f>
        <x:v>0</x:v>
      </x:c>
      <x:c r="I12" s="162" t="n">
        <x:f>H12</x:f>
        <x:v>0</x:v>
      </x:c>
      <x:c r="J12" s="162" t="n">
        <x:f>I12</x:f>
        <x:v>0</x:v>
      </x:c>
      <x:c r="K12" s="162" t="n">
        <x:f>J12</x:f>
        <x:v>0</x:v>
      </x:c>
      <x:c r="L12" s="162" t="n">
        <x:f>K12</x:f>
        <x:v>0</x:v>
      </x:c>
      <x:c r="M12" s="162" t="n">
        <x:f>L12</x:f>
        <x:v>0</x:v>
      </x:c>
      <x:c r="N12" s="162" t="n">
        <x:f>M12</x:f>
        <x:v>0</x:v>
      </x:c>
      <x:c r="O12" s="162" t="n">
        <x:f>N12</x:f>
        <x:v>0</x:v>
      </x:c>
      <x:c r="P12" s="162" t="n">
        <x:f>O12</x:f>
        <x:v>0</x:v>
      </x:c>
      <x:c r="Q12" s="162" t="n">
        <x:f>P12</x:f>
        <x:v>0</x:v>
      </x:c>
      <x:c r="R12" s="162" t="n">
        <x:f>Q12</x:f>
        <x:v>0</x:v>
      </x:c>
      <x:c r="S12" s="162" t="n">
        <x:f>R12</x:f>
        <x:v>0</x:v>
      </x:c>
      <x:c r="T12" s="162" t="n">
        <x:f>S12</x:f>
        <x:v>0</x:v>
      </x:c>
      <x:c r="U12" s="162" t="n">
        <x:f>T12</x:f>
        <x:v>0</x:v>
      </x:c>
      <x:c r="V12" s="162" t="n">
        <x:f>U12</x:f>
        <x:v>0</x:v>
      </x:c>
      <x:c r="W12" s="162" t="n">
        <x:f>V12</x:f>
        <x:v>0</x:v>
      </x:c>
      <x:c r="X12" s="162" t="n">
        <x:f>W12</x:f>
        <x:v>0</x:v>
      </x:c>
      <x:c r="Y12" s="162" t="n">
        <x:f>X12</x:f>
        <x:v>0</x:v>
      </x:c>
      <x:c r="Z12" s="162" t="n">
        <x:f>Y12</x:f>
        <x:v>0</x:v>
      </x:c>
      <x:c r="AA12" s="162" t="n">
        <x:f>Z12</x:f>
        <x:v>0</x:v>
      </x:c>
      <x:c r="AB12" s="162" t="n">
        <x:f>AA12</x:f>
        <x:v>0</x:v>
      </x:c>
      <x:c r="AC12" s="162" t="n">
        <x:f>AB12</x:f>
        <x:v>0</x:v>
      </x:c>
      <x:c r="AD12" s="162" t="n">
        <x:f>AC12</x:f>
        <x:v>0</x:v>
      </x:c>
      <x:c r="AE12" s="162" t="n">
        <x:f>AD12</x:f>
        <x:v>0</x:v>
      </x:c>
      <x:c r="AF12" s="162" t="n">
        <x:f>AE12</x:f>
        <x:v>0</x:v>
      </x:c>
      <x:c r="AG12" s="162" t="n">
        <x:f>AF12</x:f>
        <x:v>0</x:v>
      </x:c>
      <x:c r="AH12" s="162" t="n">
        <x:f>AG12</x:f>
        <x:v>0</x:v>
      </x:c>
      <x:c r="AI12" s="162" t="n">
        <x:f>AH12</x:f>
        <x:v>0</x:v>
      </x:c>
      <x:c r="AJ12" s="162" t="n">
        <x:f>AI12</x:f>
        <x:v>0</x:v>
      </x:c>
      <x:c r="AK12" s="162" t="n">
        <x:f>AJ12</x:f>
        <x:v>0</x:v>
      </x:c>
      <x:c r="AL12" s="162" t="n">
        <x:f>AK12</x:f>
        <x:v>0</x:v>
      </x:c>
      <x:c r="AM12" s="162" t="n">
        <x:f>AL12</x:f>
        <x:v>0</x:v>
      </x:c>
    </x:row>
    <x:row r="13">
      <x:c r="A13" s="161" t="str">
        <x:v>Hedge cost</x:v>
      </x:c>
      <x:c r="B13" s="146" t="str">
        <x:v>KES</x:v>
      </x:c>
      <x:c r="C13" s="162" t="n">
        <x:f>-'Collections_Losses'!D5*'Assumptions'!B14</x:f>
        <x:v>0</x:v>
      </x:c>
      <x:c r="D13" s="162" t="n">
        <x:f>C13</x:f>
        <x:v>0</x:v>
      </x:c>
      <x:c r="E13" s="162" t="n">
        <x:f>D13</x:f>
        <x:v>0</x:v>
      </x:c>
      <x:c r="F13" s="162" t="n">
        <x:f>E13</x:f>
        <x:v>0</x:v>
      </x:c>
      <x:c r="G13" s="162" t="n">
        <x:f>F13</x:f>
        <x:v>0</x:v>
      </x:c>
      <x:c r="H13" s="162" t="n">
        <x:f>G13</x:f>
        <x:v>0</x:v>
      </x:c>
      <x:c r="I13" s="162" t="n">
        <x:f>H13</x:f>
        <x:v>0</x:v>
      </x:c>
      <x:c r="J13" s="162" t="n">
        <x:f>I13</x:f>
        <x:v>0</x:v>
      </x:c>
      <x:c r="K13" s="162" t="n">
        <x:f>J13</x:f>
        <x:v>0</x:v>
      </x:c>
      <x:c r="L13" s="162" t="n">
        <x:f>K13</x:f>
        <x:v>0</x:v>
      </x:c>
      <x:c r="M13" s="162" t="n">
        <x:f>L13</x:f>
        <x:v>0</x:v>
      </x:c>
      <x:c r="N13" s="162" t="n">
        <x:f>M13</x:f>
        <x:v>0</x:v>
      </x:c>
      <x:c r="O13" s="162" t="n">
        <x:f>N13</x:f>
        <x:v>0</x:v>
      </x:c>
      <x:c r="P13" s="162" t="n">
        <x:f>O13</x:f>
        <x:v>0</x:v>
      </x:c>
      <x:c r="Q13" s="162" t="n">
        <x:f>P13</x:f>
        <x:v>0</x:v>
      </x:c>
      <x:c r="R13" s="162" t="n">
        <x:f>Q13</x:f>
        <x:v>0</x:v>
      </x:c>
      <x:c r="S13" s="162" t="n">
        <x:f>R13</x:f>
        <x:v>0</x:v>
      </x:c>
      <x:c r="T13" s="162" t="n">
        <x:f>S13</x:f>
        <x:v>0</x:v>
      </x:c>
      <x:c r="U13" s="162" t="n">
        <x:f>T13</x:f>
        <x:v>0</x:v>
      </x:c>
      <x:c r="V13" s="162" t="n">
        <x:f>U13</x:f>
        <x:v>0</x:v>
      </x:c>
      <x:c r="W13" s="162" t="n">
        <x:f>V13</x:f>
        <x:v>0</x:v>
      </x:c>
      <x:c r="X13" s="162" t="n">
        <x:f>W13</x:f>
        <x:v>0</x:v>
      </x:c>
      <x:c r="Y13" s="162" t="n">
        <x:f>X13</x:f>
        <x:v>0</x:v>
      </x:c>
      <x:c r="Z13" s="162" t="n">
        <x:f>Y13</x:f>
        <x:v>0</x:v>
      </x:c>
      <x:c r="AA13" s="162" t="n">
        <x:f>Z13</x:f>
        <x:v>0</x:v>
      </x:c>
      <x:c r="AB13" s="162" t="n">
        <x:f>AA13</x:f>
        <x:v>0</x:v>
      </x:c>
      <x:c r="AC13" s="162" t="n">
        <x:f>AB13</x:f>
        <x:v>0</x:v>
      </x:c>
      <x:c r="AD13" s="162" t="n">
        <x:f>AC13</x:f>
        <x:v>0</x:v>
      </x:c>
      <x:c r="AE13" s="162" t="n">
        <x:f>AD13</x:f>
        <x:v>0</x:v>
      </x:c>
      <x:c r="AF13" s="162" t="n">
        <x:f>AE13</x:f>
        <x:v>0</x:v>
      </x:c>
      <x:c r="AG13" s="162" t="n">
        <x:f>AF13</x:f>
        <x:v>0</x:v>
      </x:c>
      <x:c r="AH13" s="162" t="n">
        <x:f>AG13</x:f>
        <x:v>0</x:v>
      </x:c>
      <x:c r="AI13" s="162" t="n">
        <x:f>AH13</x:f>
        <x:v>0</x:v>
      </x:c>
      <x:c r="AJ13" s="162" t="n">
        <x:f>AI13</x:f>
        <x:v>0</x:v>
      </x:c>
      <x:c r="AK13" s="162" t="n">
        <x:f>AJ13</x:f>
        <x:v>0</x:v>
      </x:c>
      <x:c r="AL13" s="162" t="n">
        <x:f>AK13</x:f>
        <x:v>0</x:v>
      </x:c>
      <x:c r="AM13" s="162" t="n">
        <x:f>AL13</x:f>
        <x:v>0</x:v>
      </x:c>
    </x:row>
    <x:row r="14">
      <x:c r="A14" s="161" t="str">
        <x:v>Cash available</x:v>
      </x:c>
      <x:c r="B14" s="146" t="str">
        <x:v>KES</x:v>
      </x:c>
      <x:c r="C14" s="162" t="n">
        <x:f>SUM(C5:C13)</x:f>
        <x:v>5448927035035.631</x:v>
      </x:c>
      <x:c r="D14" s="162" t="n">
        <x:f>C14</x:f>
        <x:v>5448927035035.631</x:v>
      </x:c>
      <x:c r="E14" s="162" t="n">
        <x:f>D14</x:f>
        <x:v>5448927035035.631</x:v>
      </x:c>
      <x:c r="F14" s="162" t="n">
        <x:f>E14</x:f>
        <x:v>5448927035035.631</x:v>
      </x:c>
      <x:c r="G14" s="162" t="n">
        <x:f>F14</x:f>
        <x:v>5448927035035.631</x:v>
      </x:c>
      <x:c r="H14" s="162" t="n">
        <x:f>G14</x:f>
        <x:v>5448927035035.631</x:v>
      </x:c>
      <x:c r="I14" s="162" t="n">
        <x:f>H14</x:f>
        <x:v>5448927035035.631</x:v>
      </x:c>
      <x:c r="J14" s="162" t="n">
        <x:f>I14</x:f>
        <x:v>5448927035035.631</x:v>
      </x:c>
      <x:c r="K14" s="162" t="n">
        <x:f>J14</x:f>
        <x:v>5448927035035.631</x:v>
      </x:c>
      <x:c r="L14" s="162" t="n">
        <x:f>K14</x:f>
        <x:v>5448927035035.631</x:v>
      </x:c>
      <x:c r="M14" s="162" t="n">
        <x:f>L14</x:f>
        <x:v>5448927035035.631</x:v>
      </x:c>
      <x:c r="N14" s="162" t="n">
        <x:f>M14</x:f>
        <x:v>5448927035035.631</x:v>
      </x:c>
      <x:c r="O14" s="162" t="n">
        <x:f>N14</x:f>
        <x:v>5448927035035.631</x:v>
      </x:c>
      <x:c r="P14" s="162" t="n">
        <x:f>O14</x:f>
        <x:v>5448927035035.631</x:v>
      </x:c>
      <x:c r="Q14" s="162" t="n">
        <x:f>P14</x:f>
        <x:v>5448927035035.631</x:v>
      </x:c>
      <x:c r="R14" s="162" t="n">
        <x:f>Q14</x:f>
        <x:v>5448927035035.631</x:v>
      </x:c>
      <x:c r="S14" s="162" t="n">
        <x:f>R14</x:f>
        <x:v>5448927035035.631</x:v>
      </x:c>
      <x:c r="T14" s="162" t="n">
        <x:f>S14</x:f>
        <x:v>5448927035035.631</x:v>
      </x:c>
      <x:c r="U14" s="162" t="n">
        <x:f>T14</x:f>
        <x:v>5448927035035.631</x:v>
      </x:c>
      <x:c r="V14" s="162" t="n">
        <x:f>U14</x:f>
        <x:v>5448927035035.631</x:v>
      </x:c>
      <x:c r="W14" s="162" t="n">
        <x:f>V14</x:f>
        <x:v>5448927035035.631</x:v>
      </x:c>
      <x:c r="X14" s="162" t="n">
        <x:f>W14</x:f>
        <x:v>5448927035035.631</x:v>
      </x:c>
      <x:c r="Y14" s="162" t="n">
        <x:f>X14</x:f>
        <x:v>5448927035035.631</x:v>
      </x:c>
      <x:c r="Z14" s="162" t="n">
        <x:f>Y14</x:f>
        <x:v>5448927035035.631</x:v>
      </x:c>
      <x:c r="AA14" s="162" t="n">
        <x:f>Z14</x:f>
        <x:v>5448927035035.631</x:v>
      </x:c>
      <x:c r="AB14" s="162" t="n">
        <x:f>AA14</x:f>
        <x:v>5448927035035.631</x:v>
      </x:c>
      <x:c r="AC14" s="162" t="n">
        <x:f>AB14</x:f>
        <x:v>5448927035035.631</x:v>
      </x:c>
      <x:c r="AD14" s="162" t="n">
        <x:f>AC14</x:f>
        <x:v>5448927035035.631</x:v>
      </x:c>
      <x:c r="AE14" s="162" t="n">
        <x:f>AD14</x:f>
        <x:v>5448927035035.631</x:v>
      </x:c>
      <x:c r="AF14" s="162" t="n">
        <x:f>AE14</x:f>
        <x:v>5448927035035.631</x:v>
      </x:c>
      <x:c r="AG14" s="162" t="n">
        <x:f>AF14</x:f>
        <x:v>5448927035035.631</x:v>
      </x:c>
      <x:c r="AH14" s="162" t="n">
        <x:f>AG14</x:f>
        <x:v>5448927035035.631</x:v>
      </x:c>
      <x:c r="AI14" s="162" t="n">
        <x:f>AH14</x:f>
        <x:v>5448927035035.631</x:v>
      </x:c>
      <x:c r="AJ14" s="162" t="n">
        <x:f>AI14</x:f>
        <x:v>5448927035035.631</x:v>
      </x:c>
      <x:c r="AK14" s="162" t="n">
        <x:f>AJ14</x:f>
        <x:v>5448927035035.631</x:v>
      </x:c>
      <x:c r="AL14" s="162" t="n">
        <x:f>AK14</x:f>
        <x:v>5448927035035.631</x:v>
      </x:c>
      <x:c r="AM14" s="162" t="n">
        <x:f>AL14</x:f>
        <x:v>5448927035035.631</x:v>
      </x:c>
    </x:row>
    <x:row r="15">
      <x:c r="A15" s="161" t="str">
        <x:v>Ending cash</x:v>
      </x:c>
      <x:c r="B15" s="146" t="str">
        <x:v>KES</x:v>
      </x:c>
      <x:c r="C15" s="162" t="n">
        <x:f>C14</x:f>
        <x:v>5448927035035.631</x:v>
      </x:c>
      <x:c r="D15" s="162" t="n">
        <x:f>C15</x:f>
        <x:v>5448927035035.631</x:v>
      </x:c>
      <x:c r="E15" s="162" t="n">
        <x:f>D15</x:f>
        <x:v>5448927035035.631</x:v>
      </x:c>
      <x:c r="F15" s="162" t="n">
        <x:f>E15</x:f>
        <x:v>5448927035035.631</x:v>
      </x:c>
      <x:c r="G15" s="162" t="n">
        <x:f>F15</x:f>
        <x:v>5448927035035.631</x:v>
      </x:c>
      <x:c r="H15" s="162" t="n">
        <x:f>G15</x:f>
        <x:v>5448927035035.631</x:v>
      </x:c>
      <x:c r="I15" s="162" t="n">
        <x:f>H15</x:f>
        <x:v>5448927035035.631</x:v>
      </x:c>
      <x:c r="J15" s="162" t="n">
        <x:f>I15</x:f>
        <x:v>5448927035035.631</x:v>
      </x:c>
      <x:c r="K15" s="162" t="n">
        <x:f>J15</x:f>
        <x:v>5448927035035.631</x:v>
      </x:c>
      <x:c r="L15" s="162" t="n">
        <x:f>K15</x:f>
        <x:v>5448927035035.631</x:v>
      </x:c>
      <x:c r="M15" s="162" t="n">
        <x:f>L15</x:f>
        <x:v>5448927035035.631</x:v>
      </x:c>
      <x:c r="N15" s="162" t="n">
        <x:f>M15</x:f>
        <x:v>5448927035035.631</x:v>
      </x:c>
      <x:c r="O15" s="162" t="n">
        <x:f>N15</x:f>
        <x:v>5448927035035.631</x:v>
      </x:c>
      <x:c r="P15" s="162" t="n">
        <x:f>O15</x:f>
        <x:v>5448927035035.631</x:v>
      </x:c>
      <x:c r="Q15" s="162" t="n">
        <x:f>P15</x:f>
        <x:v>5448927035035.631</x:v>
      </x:c>
      <x:c r="R15" s="162" t="n">
        <x:f>Q15</x:f>
        <x:v>5448927035035.631</x:v>
      </x:c>
      <x:c r="S15" s="162" t="n">
        <x:f>R15</x:f>
        <x:v>5448927035035.631</x:v>
      </x:c>
      <x:c r="T15" s="162" t="n">
        <x:f>S15</x:f>
        <x:v>5448927035035.631</x:v>
      </x:c>
      <x:c r="U15" s="162" t="n">
        <x:f>T15</x:f>
        <x:v>5448927035035.631</x:v>
      </x:c>
      <x:c r="V15" s="162" t="n">
        <x:f>U15</x:f>
        <x:v>5448927035035.631</x:v>
      </x:c>
      <x:c r="W15" s="162" t="n">
        <x:f>V15</x:f>
        <x:v>5448927035035.631</x:v>
      </x:c>
      <x:c r="X15" s="162" t="n">
        <x:f>W15</x:f>
        <x:v>5448927035035.631</x:v>
      </x:c>
      <x:c r="Y15" s="162" t="n">
        <x:f>X15</x:f>
        <x:v>5448927035035.631</x:v>
      </x:c>
      <x:c r="Z15" s="162" t="n">
        <x:f>Y15</x:f>
        <x:v>5448927035035.631</x:v>
      </x:c>
      <x:c r="AA15" s="162" t="n">
        <x:f>Z15</x:f>
        <x:v>5448927035035.631</x:v>
      </x:c>
      <x:c r="AB15" s="162" t="n">
        <x:f>AA15</x:f>
        <x:v>5448927035035.631</x:v>
      </x:c>
      <x:c r="AC15" s="162" t="n">
        <x:f>AB15</x:f>
        <x:v>5448927035035.631</x:v>
      </x:c>
      <x:c r="AD15" s="162" t="n">
        <x:f>AC15</x:f>
        <x:v>5448927035035.631</x:v>
      </x:c>
      <x:c r="AE15" s="162" t="n">
        <x:f>AD15</x:f>
        <x:v>5448927035035.631</x:v>
      </x:c>
      <x:c r="AF15" s="162" t="n">
        <x:f>AE15</x:f>
        <x:v>5448927035035.631</x:v>
      </x:c>
      <x:c r="AG15" s="162" t="n">
        <x:f>AF15</x:f>
        <x:v>5448927035035.631</x:v>
      </x:c>
      <x:c r="AH15" s="162" t="n">
        <x:f>AG15</x:f>
        <x:v>5448927035035.631</x:v>
      </x:c>
      <x:c r="AI15" s="162" t="n">
        <x:f>AH15</x:f>
        <x:v>5448927035035.631</x:v>
      </x:c>
      <x:c r="AJ15" s="162" t="n">
        <x:f>AI15</x:f>
        <x:v>5448927035035.631</x:v>
      </x:c>
      <x:c r="AK15" s="162" t="n">
        <x:f>AJ15</x:f>
        <x:v>5448927035035.631</x:v>
      </x:c>
      <x:c r="AL15" s="162" t="n">
        <x:f>AK15</x:f>
        <x:v>5448927035035.631</x:v>
      </x:c>
      <x:c r="AM15" s="162" t="n">
        <x:f>AL15</x:f>
        <x:v>5448927035035.631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4" hidden="0" customWidth="1"/>
    <x:col min="5" max="5" width="30" hidden="0" customWidth="1"/>
  </x:cols>
  <x:sheetData>
    <x:row r="1" ht="28" customHeight="1">
      <x:c r="A1" s="144" t="str">
        <x:v>Waterfall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Priority-of-payments allocation; distributions blocked on covenant failure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4" t="str">
        <x:v>Priority</x:v>
      </x:c>
      <x:c r="B4" s="154" t="str">
        <x:v>Use of cash</x:v>
      </x:c>
      <x:c r="C4" s="154" t="str">
        <x:v>Amount</x:v>
      </x:c>
      <x:c r="D4" s="154" t="str">
        <x:v>Status</x:v>
      </x:c>
      <x:c r="E4" s="154" t="str">
        <x:v>Rule</x:v>
      </x:c>
      <x:c r="F4" s="146"/>
      <x:c r="G4" s="146"/>
      <x:c r="H4" s="146"/>
    </x:row>
    <x:row r="5">
      <x:c r="A5" s="148" t="n">
        <x:v>1</x:v>
      </x:c>
      <x:c r="B5" s="148" t="str">
        <x:v>Statutory / trustee costs</x:v>
      </x:c>
      <x:c r="C5" s="164" t="n">
        <x:f>-'SPV_Cashflow'!C12</x:f>
        <x:v>0</x:v>
      </x:c>
      <x:c r="D5" s="148" t="str">
        <x:v>PASS</x:v>
      </x:c>
      <x:c r="E5" s="148" t="str">
        <x:v>Paid first</x:v>
      </x:c>
      <x:c r="F5" s="146"/>
      <x:c r="G5" s="146"/>
      <x:c r="H5" s="146"/>
    </x:row>
    <x:row r="6">
      <x:c r="A6" s="148" t="n">
        <x:v>2</x:v>
      </x:c>
      <x:c r="B6" s="148" t="str">
        <x:v>Servicing fees</x:v>
      </x:c>
      <x:c r="C6" s="164" t="n">
        <x:f>'Collections_Losses'!D5*'Assumptions'!B15</x:f>
        <x:v>0</x:v>
      </x:c>
      <x:c r="D6" s="148" t="str">
        <x:v>PASS</x:v>
      </x:c>
      <x:c r="E6" s="148" t="str">
        <x:v>Paid second</x:v>
      </x:c>
      <x:c r="F6" s="146"/>
      <x:c r="G6" s="146"/>
      <x:c r="H6" s="146"/>
    </x:row>
    <x:row r="7">
      <x:c r="A7" s="148" t="n">
        <x:v>3</x:v>
      </x:c>
      <x:c r="B7" s="148" t="str">
        <x:v>Class A interest</x:v>
      </x:c>
      <x:c r="C7" s="164" t="n">
        <x:f>'Debt_Schedules'!C6*'Assumptions'!$B$12</x:f>
        <x:v>9140625</x:v>
      </x:c>
      <x:c r="D7" s="148" t="str">
        <x:v>PASS</x:v>
      </x:c>
      <x:c r="E7" s="148" t="str">
        <x:v>Senior interest</x:v>
      </x:c>
      <x:c r="F7" s="146"/>
      <x:c r="G7" s="146"/>
      <x:c r="H7" s="146"/>
    </x:row>
    <x:row r="8">
      <x:c r="A8" s="148" t="n">
        <x:v>4</x:v>
      </x:c>
      <x:c r="B8" s="148" t="str">
        <x:v>Class A principal</x:v>
      </x:c>
      <x:c r="C8" s="164" t="n">
        <x:f>'Debt_Schedules'!C7*'Assumptions'!$B$12</x:f>
        <x:v>877500000</x:v>
      </x:c>
      <x:c r="D8" s="148" t="str">
        <x:v>PASS</x:v>
      </x:c>
      <x:c r="E8" s="148" t="str">
        <x:v>Senior principal</x:v>
      </x:c>
      <x:c r="F8" s="146"/>
      <x:c r="G8" s="146"/>
      <x:c r="H8" s="146"/>
    </x:row>
    <x:row r="9">
      <x:c r="A9" s="148" t="n">
        <x:v>5</x:v>
      </x:c>
      <x:c r="B9" s="148" t="str">
        <x:v>Class B interest</x:v>
      </x:c>
      <x:c r="C9" s="164" t="n">
        <x:f>'Debt_Schedules'!C10*'Assumptions'!$B$12</x:f>
        <x:v>2925000</x:v>
      </x:c>
      <x:c r="D9" s="148" t="str">
        <x:v>PASS</x:v>
      </x:c>
      <x:c r="E9" s="148" t="str">
        <x:v>Mezzanine interest</x:v>
      </x:c>
      <x:c r="F9" s="146"/>
      <x:c r="G9" s="146"/>
      <x:c r="H9" s="146"/>
    </x:row>
    <x:row r="10">
      <x:c r="A10" s="148" t="n">
        <x:v>6</x:v>
      </x:c>
      <x:c r="B10" s="148" t="str">
        <x:v>Class B principal</x:v>
      </x:c>
      <x:c r="C10" s="164" t="n">
        <x:f>'Debt_Schedules'!C11*'Assumptions'!$B$12</x:f>
        <x:v>175500000</x:v>
      </x:c>
      <x:c r="D10" s="148" t="str">
        <x:v>PASS</x:v>
      </x:c>
      <x:c r="E10" s="148" t="str">
        <x:v>Mezzanine principal</x:v>
      </x:c>
      <x:c r="F10" s="146"/>
      <x:c r="G10" s="146"/>
      <x:c r="H10" s="146"/>
    </x:row>
    <x:row r="11">
      <x:c r="A11" s="148" t="n">
        <x:v>7</x:v>
      </x:c>
      <x:c r="B11" s="148" t="str">
        <x:v>Reserve replenishment</x:v>
      </x:c>
      <x:c r="C11" s="164" t="n">
        <x:f>MAX(0,'Reserves_OC'!B9-'Reserves_OC'!B9)</x:f>
        <x:v>0</x:v>
      </x:c>
      <x:c r="D11" s="148" t="str">
        <x:v>PASS</x:v>
      </x:c>
      <x:c r="E11" s="148" t="str">
        <x:v>CRA to target</x:v>
      </x:c>
      <x:c r="F11" s="146"/>
      <x:c r="G11" s="146"/>
      <x:c r="H11" s="146"/>
    </x:row>
    <x:row r="12">
      <x:c r="A12" s="148" t="n">
        <x:v>8</x:v>
      </x:c>
      <x:c r="B12" s="148" t="str">
        <x:v>Early-amortization senior sweep</x:v>
      </x:c>
      <x:c r="C12" s="164" t="n">
        <x:f>0</x:f>
        <x:v>0</x:v>
      </x:c>
      <x:c r="D12" s="148" t="str">
        <x:v>PASS</x:v>
      </x:c>
      <x:c r="E12" s="148" t="str">
        <x:v>Only if trigger</x:v>
      </x:c>
      <x:c r="F12" s="146"/>
      <x:c r="G12" s="146"/>
      <x:c r="H12" s="146"/>
    </x:row>
    <x:row r="13">
      <x:c r="A13" s="148" t="n">
        <x:v>9</x:v>
      </x:c>
      <x:c r="B13" s="148" t="str">
        <x:v>Class B sweep</x:v>
      </x:c>
      <x:c r="C13" s="164" t="n">
        <x:f>0</x:f>
        <x:v>0</x:v>
      </x:c>
      <x:c r="D13" s="148" t="str">
        <x:v>PASS</x:v>
      </x:c>
      <x:c r="E13" s="148" t="str">
        <x:v>After senior</x:v>
      </x:c>
      <x:c r="F13" s="146"/>
      <x:c r="G13" s="146"/>
      <x:c r="H13" s="146"/>
    </x:row>
    <x:row r="14">
      <x:c r="A14" s="148" t="n">
        <x:v>10</x:v>
      </x:c>
      <x:c r="B14" s="148" t="str">
        <x:v>Class C residual</x:v>
      </x:c>
      <x:c r="C14" s="164" t="n">
        <x:f>IF(COUNTIF(D5:D13,"FAIL")&gt;0,0,MAX(0,'SPV_Cashflow'!C14-SUM(C5:C13)))</x:f>
        <x:v>5447861969410.631</x:v>
      </x:c>
      <x:c r="D14" s="148" t="str">
        <x:f>IF(COUNTIF(D5:D13,"FAIL")&gt;0,"BLOCKED","PASS")</x:f>
        <x:v>PASS</x:v>
      </x:c>
      <x:c r="E14" s="148" t="str">
        <x:v>Blocked if any fail</x:v>
      </x:c>
      <x:c r="F14" s="146"/>
      <x:c r="G14" s="146"/>
      <x:c r="H14" s="14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</x:cols>
  <x:sheetData>
    <x:row r="1" ht="28" customHeight="1">
      <x:c r="A1" s="144" t="str">
        <x:v>Debt Schedules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</x:row>
    <x:row r="2">
      <x:c r="A2" s="145" t="str">
        <x:v>Class A and Class B balances, interest and principal priority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</x:row>
    <x:row r="4">
      <x:c r="A4" s="150" t="str">
        <x:v>Metric</x:v>
      </x:c>
      <x:c r="B4" s="150" t="str">
        <x:v>Unit</x:v>
      </x:c>
      <x:c r="C4" s="150" t="str">
        <x:v>Base</x:v>
      </x:c>
      <x:c r="D4" s="150" t="str">
        <x:v>M01</x:v>
      </x:c>
      <x:c r="E4" s="150" t="str">
        <x:v>M02</x:v>
      </x:c>
      <x:c r="F4" s="150" t="str">
        <x:v>M03</x:v>
      </x:c>
      <x:c r="G4" s="150" t="str">
        <x:v>M04</x:v>
      </x:c>
      <x:c r="H4" s="150" t="str">
        <x:v>M05</x:v>
      </x:c>
      <x:c r="I4" s="150" t="str">
        <x:v>M06</x:v>
      </x:c>
      <x:c r="J4" s="150" t="str">
        <x:v>M07</x:v>
      </x:c>
      <x:c r="K4" s="150" t="str">
        <x:v>M08</x:v>
      </x:c>
      <x:c r="L4" s="150" t="str">
        <x:v>M09</x:v>
      </x:c>
      <x:c r="M4" s="150" t="str">
        <x:v>M10</x:v>
      </x:c>
      <x:c r="N4" s="150" t="str">
        <x:v>M11</x:v>
      </x:c>
      <x:c r="O4" s="150" t="str">
        <x:v>M12</x:v>
      </x:c>
      <x:c r="P4" s="150" t="str">
        <x:v>M13</x:v>
      </x:c>
      <x:c r="Q4" s="150" t="str">
        <x:v>M14</x:v>
      </x:c>
      <x:c r="R4" s="150" t="str">
        <x:v>M15</x:v>
      </x:c>
      <x:c r="S4" s="150" t="str">
        <x:v>M16</x:v>
      </x:c>
      <x:c r="T4" s="150" t="str">
        <x:v>M17</x:v>
      </x:c>
      <x:c r="U4" s="150" t="str">
        <x:v>M18</x:v>
      </x:c>
      <x:c r="V4" s="150" t="str">
        <x:v>M19</x:v>
      </x:c>
      <x:c r="W4" s="150" t="str">
        <x:v>M20</x:v>
      </x:c>
      <x:c r="X4" s="150" t="str">
        <x:v>M21</x:v>
      </x:c>
      <x:c r="Y4" s="150" t="str">
        <x:v>M22</x:v>
      </x:c>
      <x:c r="Z4" s="150" t="str">
        <x:v>M23</x:v>
      </x:c>
      <x:c r="AA4" s="150" t="str">
        <x:v>M24</x:v>
      </x:c>
      <x:c r="AB4" s="150" t="str">
        <x:v>M25</x:v>
      </x:c>
      <x:c r="AC4" s="150" t="str">
        <x:v>M26</x:v>
      </x:c>
      <x:c r="AD4" s="150" t="str">
        <x:v>M27</x:v>
      </x:c>
      <x:c r="AE4" s="150" t="str">
        <x:v>M28</x:v>
      </x:c>
      <x:c r="AF4" s="150" t="str">
        <x:v>M29</x:v>
      </x:c>
      <x:c r="AG4" s="150" t="str">
        <x:v>M30</x:v>
      </x:c>
      <x:c r="AH4" s="150" t="str">
        <x:v>M31</x:v>
      </x:c>
      <x:c r="AI4" s="150" t="str">
        <x:v>M32</x:v>
      </x:c>
      <x:c r="AJ4" s="150" t="str">
        <x:v>M33</x:v>
      </x:c>
      <x:c r="AK4" s="150" t="str">
        <x:v>M34</x:v>
      </x:c>
      <x:c r="AL4" s="150" t="str">
        <x:v>M35</x:v>
      </x:c>
      <x:c r="AM4" s="150" t="str">
        <x:v>M36</x:v>
      </x:c>
    </x:row>
    <x:row r="5">
      <x:c r="A5" s="161" t="str">
        <x:v>Class A opening</x:v>
      </x:c>
      <x:c r="B5" s="146" t="str">
        <x:v>USD</x:v>
      </x:c>
      <x:c r="C5" s="162" t="n">
        <x:f>'Summary'!B7</x:f>
        <x:v>6750000</x:v>
      </x:c>
      <x:c r="D5" s="162" t="n">
        <x:f>C5</x:f>
        <x:v>6750000</x:v>
      </x:c>
      <x:c r="E5" s="162" t="n">
        <x:f>D5</x:f>
        <x:v>6750000</x:v>
      </x:c>
      <x:c r="F5" s="162" t="n">
        <x:f>E5</x:f>
        <x:v>6750000</x:v>
      </x:c>
      <x:c r="G5" s="162" t="n">
        <x:f>F5</x:f>
        <x:v>6750000</x:v>
      </x:c>
      <x:c r="H5" s="162" t="n">
        <x:f>G5</x:f>
        <x:v>6750000</x:v>
      </x:c>
      <x:c r="I5" s="162" t="n">
        <x:f>H5</x:f>
        <x:v>6750000</x:v>
      </x:c>
      <x:c r="J5" s="162" t="n">
        <x:f>I5</x:f>
        <x:v>6750000</x:v>
      </x:c>
      <x:c r="K5" s="162" t="n">
        <x:f>J5</x:f>
        <x:v>6750000</x:v>
      </x:c>
      <x:c r="L5" s="162" t="n">
        <x:f>K5</x:f>
        <x:v>6750000</x:v>
      </x:c>
      <x:c r="M5" s="162" t="n">
        <x:f>L5</x:f>
        <x:v>6750000</x:v>
      </x:c>
      <x:c r="N5" s="162" t="n">
        <x:f>M5</x:f>
        <x:v>6750000</x:v>
      </x:c>
      <x:c r="O5" s="162" t="n">
        <x:f>N5</x:f>
        <x:v>6750000</x:v>
      </x:c>
      <x:c r="P5" s="162" t="n">
        <x:f>O5</x:f>
        <x:v>6750000</x:v>
      </x:c>
      <x:c r="Q5" s="162" t="n">
        <x:f>P5</x:f>
        <x:v>6750000</x:v>
      </x:c>
      <x:c r="R5" s="162" t="n">
        <x:f>Q5</x:f>
        <x:v>6750000</x:v>
      </x:c>
      <x:c r="S5" s="162" t="n">
        <x:f>R5</x:f>
        <x:v>6750000</x:v>
      </x:c>
      <x:c r="T5" s="162" t="n">
        <x:f>S5</x:f>
        <x:v>6750000</x:v>
      </x:c>
      <x:c r="U5" s="162" t="n">
        <x:f>T5</x:f>
        <x:v>6750000</x:v>
      </x:c>
      <x:c r="V5" s="162" t="n">
        <x:f>U5</x:f>
        <x:v>6750000</x:v>
      </x:c>
      <x:c r="W5" s="162" t="n">
        <x:f>V5</x:f>
        <x:v>6750000</x:v>
      </x:c>
      <x:c r="X5" s="162" t="n">
        <x:f>W5</x:f>
        <x:v>6750000</x:v>
      </x:c>
      <x:c r="Y5" s="162" t="n">
        <x:f>X5</x:f>
        <x:v>6750000</x:v>
      </x:c>
      <x:c r="Z5" s="162" t="n">
        <x:f>Y5</x:f>
        <x:v>6750000</x:v>
      </x:c>
      <x:c r="AA5" s="162" t="n">
        <x:f>Z5</x:f>
        <x:v>6750000</x:v>
      </x:c>
      <x:c r="AB5" s="162" t="n">
        <x:f>AA5</x:f>
        <x:v>6750000</x:v>
      </x:c>
      <x:c r="AC5" s="162" t="n">
        <x:f>AB5</x:f>
        <x:v>6750000</x:v>
      </x:c>
      <x:c r="AD5" s="162" t="n">
        <x:f>AC5</x:f>
        <x:v>6750000</x:v>
      </x:c>
      <x:c r="AE5" s="162" t="n">
        <x:f>AD5</x:f>
        <x:v>6750000</x:v>
      </x:c>
      <x:c r="AF5" s="162" t="n">
        <x:f>AE5</x:f>
        <x:v>6750000</x:v>
      </x:c>
      <x:c r="AG5" s="162" t="n">
        <x:f>AF5</x:f>
        <x:v>6750000</x:v>
      </x:c>
      <x:c r="AH5" s="162" t="n">
        <x:f>AG5</x:f>
        <x:v>6750000</x:v>
      </x:c>
      <x:c r="AI5" s="162" t="n">
        <x:f>AH5</x:f>
        <x:v>6750000</x:v>
      </x:c>
      <x:c r="AJ5" s="162" t="n">
        <x:f>AI5</x:f>
        <x:v>6750000</x:v>
      </x:c>
      <x:c r="AK5" s="162" t="n">
        <x:f>AJ5</x:f>
        <x:v>6750000</x:v>
      </x:c>
      <x:c r="AL5" s="162" t="n">
        <x:f>AK5</x:f>
        <x:v>6750000</x:v>
      </x:c>
      <x:c r="AM5" s="162" t="n">
        <x:f>AL5</x:f>
        <x:v>6750000</x:v>
      </x:c>
    </x:row>
    <x:row r="6">
      <x:c r="A6" s="161" t="str">
        <x:v>Class A interest</x:v>
      </x:c>
      <x:c r="B6" s="146" t="str">
        <x:v>USD</x:v>
      </x:c>
      <x:c r="C6" s="162" t="n">
        <x:f>C5*('Assumptions'!B28+'Assumptions'!B13)/12</x:f>
        <x:v>70312.5</x:v>
      </x:c>
      <x:c r="D6" s="162" t="n">
        <x:f>C6</x:f>
        <x:v>70312.5</x:v>
      </x:c>
      <x:c r="E6" s="162" t="n">
        <x:f>D6</x:f>
        <x:v>70312.5</x:v>
      </x:c>
      <x:c r="F6" s="162" t="n">
        <x:f>E6</x:f>
        <x:v>70312.5</x:v>
      </x:c>
      <x:c r="G6" s="162" t="n">
        <x:f>F6</x:f>
        <x:v>70312.5</x:v>
      </x:c>
      <x:c r="H6" s="162" t="n">
        <x:f>G6</x:f>
        <x:v>70312.5</x:v>
      </x:c>
      <x:c r="I6" s="162" t="n">
        <x:f>H6</x:f>
        <x:v>70312.5</x:v>
      </x:c>
      <x:c r="J6" s="162" t="n">
        <x:f>I6</x:f>
        <x:v>70312.5</x:v>
      </x:c>
      <x:c r="K6" s="162" t="n">
        <x:f>J6</x:f>
        <x:v>70312.5</x:v>
      </x:c>
      <x:c r="L6" s="162" t="n">
        <x:f>K6</x:f>
        <x:v>70312.5</x:v>
      </x:c>
      <x:c r="M6" s="162" t="n">
        <x:f>L6</x:f>
        <x:v>70312.5</x:v>
      </x:c>
      <x:c r="N6" s="162" t="n">
        <x:f>M6</x:f>
        <x:v>70312.5</x:v>
      </x:c>
      <x:c r="O6" s="162" t="n">
        <x:f>N6</x:f>
        <x:v>70312.5</x:v>
      </x:c>
      <x:c r="P6" s="162" t="n">
        <x:f>O6</x:f>
        <x:v>70312.5</x:v>
      </x:c>
      <x:c r="Q6" s="162" t="n">
        <x:f>P6</x:f>
        <x:v>70312.5</x:v>
      </x:c>
      <x:c r="R6" s="162" t="n">
        <x:f>Q6</x:f>
        <x:v>70312.5</x:v>
      </x:c>
      <x:c r="S6" s="162" t="n">
        <x:f>R6</x:f>
        <x:v>70312.5</x:v>
      </x:c>
      <x:c r="T6" s="162" t="n">
        <x:f>S6</x:f>
        <x:v>70312.5</x:v>
      </x:c>
      <x:c r="U6" s="162" t="n">
        <x:f>T6</x:f>
        <x:v>70312.5</x:v>
      </x:c>
      <x:c r="V6" s="162" t="n">
        <x:f>U6</x:f>
        <x:v>70312.5</x:v>
      </x:c>
      <x:c r="W6" s="162" t="n">
        <x:f>V6</x:f>
        <x:v>70312.5</x:v>
      </x:c>
      <x:c r="X6" s="162" t="n">
        <x:f>W6</x:f>
        <x:v>70312.5</x:v>
      </x:c>
      <x:c r="Y6" s="162" t="n">
        <x:f>X6</x:f>
        <x:v>70312.5</x:v>
      </x:c>
      <x:c r="Z6" s="162" t="n">
        <x:f>Y6</x:f>
        <x:v>70312.5</x:v>
      </x:c>
      <x:c r="AA6" s="162" t="n">
        <x:f>Z6</x:f>
        <x:v>70312.5</x:v>
      </x:c>
      <x:c r="AB6" s="162" t="n">
        <x:f>AA6</x:f>
        <x:v>70312.5</x:v>
      </x:c>
      <x:c r="AC6" s="162" t="n">
        <x:f>AB6</x:f>
        <x:v>70312.5</x:v>
      </x:c>
      <x:c r="AD6" s="162" t="n">
        <x:f>AC6</x:f>
        <x:v>70312.5</x:v>
      </x:c>
      <x:c r="AE6" s="162" t="n">
        <x:f>AD6</x:f>
        <x:v>70312.5</x:v>
      </x:c>
      <x:c r="AF6" s="162" t="n">
        <x:f>AE6</x:f>
        <x:v>70312.5</x:v>
      </x:c>
      <x:c r="AG6" s="162" t="n">
        <x:f>AF6</x:f>
        <x:v>70312.5</x:v>
      </x:c>
      <x:c r="AH6" s="162" t="n">
        <x:f>AG6</x:f>
        <x:v>70312.5</x:v>
      </x:c>
      <x:c r="AI6" s="162" t="n">
        <x:f>AH6</x:f>
        <x:v>70312.5</x:v>
      </x:c>
      <x:c r="AJ6" s="162" t="n">
        <x:f>AI6</x:f>
        <x:v>70312.5</x:v>
      </x:c>
      <x:c r="AK6" s="162" t="n">
        <x:f>AJ6</x:f>
        <x:v>70312.5</x:v>
      </x:c>
      <x:c r="AL6" s="162" t="n">
        <x:f>AK6</x:f>
        <x:v>70312.5</x:v>
      </x:c>
      <x:c r="AM6" s="162" t="n">
        <x:f>AL6</x:f>
        <x:v>70312.5</x:v>
      </x:c>
    </x:row>
    <x:row r="7">
      <x:c r="A7" s="161" t="str">
        <x:v>Class A principal</x:v>
      </x:c>
      <x:c r="B7" s="146" t="str">
        <x:v>USD</x:v>
      </x:c>
      <x:c r="C7" s="162" t="n">
        <x:f>MIN(C5,'Collections_Losses'!D6/'Assumptions'!B9)</x:f>
        <x:v>6750000</x:v>
      </x:c>
      <x:c r="D7" s="162" t="n">
        <x:f>C7</x:f>
        <x:v>6750000</x:v>
      </x:c>
      <x:c r="E7" s="162" t="n">
        <x:f>D7</x:f>
        <x:v>6750000</x:v>
      </x:c>
      <x:c r="F7" s="162" t="n">
        <x:f>E7</x:f>
        <x:v>6750000</x:v>
      </x:c>
      <x:c r="G7" s="162" t="n">
        <x:f>F7</x:f>
        <x:v>6750000</x:v>
      </x:c>
      <x:c r="H7" s="162" t="n">
        <x:f>G7</x:f>
        <x:v>6750000</x:v>
      </x:c>
      <x:c r="I7" s="162" t="n">
        <x:f>H7</x:f>
        <x:v>6750000</x:v>
      </x:c>
      <x:c r="J7" s="162" t="n">
        <x:f>I7</x:f>
        <x:v>6750000</x:v>
      </x:c>
      <x:c r="K7" s="162" t="n">
        <x:f>J7</x:f>
        <x:v>6750000</x:v>
      </x:c>
      <x:c r="L7" s="162" t="n">
        <x:f>K7</x:f>
        <x:v>6750000</x:v>
      </x:c>
      <x:c r="M7" s="162" t="n">
        <x:f>L7</x:f>
        <x:v>6750000</x:v>
      </x:c>
      <x:c r="N7" s="162" t="n">
        <x:f>M7</x:f>
        <x:v>6750000</x:v>
      </x:c>
      <x:c r="O7" s="162" t="n">
        <x:f>N7</x:f>
        <x:v>6750000</x:v>
      </x:c>
      <x:c r="P7" s="162" t="n">
        <x:f>O7</x:f>
        <x:v>6750000</x:v>
      </x:c>
      <x:c r="Q7" s="162" t="n">
        <x:f>P7</x:f>
        <x:v>6750000</x:v>
      </x:c>
      <x:c r="R7" s="162" t="n">
        <x:f>Q7</x:f>
        <x:v>6750000</x:v>
      </x:c>
      <x:c r="S7" s="162" t="n">
        <x:f>R7</x:f>
        <x:v>6750000</x:v>
      </x:c>
      <x:c r="T7" s="162" t="n">
        <x:f>S7</x:f>
        <x:v>6750000</x:v>
      </x:c>
      <x:c r="U7" s="162" t="n">
        <x:f>T7</x:f>
        <x:v>6750000</x:v>
      </x:c>
      <x:c r="V7" s="162" t="n">
        <x:f>U7</x:f>
        <x:v>6750000</x:v>
      </x:c>
      <x:c r="W7" s="162" t="n">
        <x:f>V7</x:f>
        <x:v>6750000</x:v>
      </x:c>
      <x:c r="X7" s="162" t="n">
        <x:f>W7</x:f>
        <x:v>6750000</x:v>
      </x:c>
      <x:c r="Y7" s="162" t="n">
        <x:f>X7</x:f>
        <x:v>6750000</x:v>
      </x:c>
      <x:c r="Z7" s="162" t="n">
        <x:f>Y7</x:f>
        <x:v>6750000</x:v>
      </x:c>
      <x:c r="AA7" s="162" t="n">
        <x:f>Z7</x:f>
        <x:v>6750000</x:v>
      </x:c>
      <x:c r="AB7" s="162" t="n">
        <x:f>AA7</x:f>
        <x:v>6750000</x:v>
      </x:c>
      <x:c r="AC7" s="162" t="n">
        <x:f>AB7</x:f>
        <x:v>6750000</x:v>
      </x:c>
      <x:c r="AD7" s="162" t="n">
        <x:f>AC7</x:f>
        <x:v>6750000</x:v>
      </x:c>
      <x:c r="AE7" s="162" t="n">
        <x:f>AD7</x:f>
        <x:v>6750000</x:v>
      </x:c>
      <x:c r="AF7" s="162" t="n">
        <x:f>AE7</x:f>
        <x:v>6750000</x:v>
      </x:c>
      <x:c r="AG7" s="162" t="n">
        <x:f>AF7</x:f>
        <x:v>6750000</x:v>
      </x:c>
      <x:c r="AH7" s="162" t="n">
        <x:f>AG7</x:f>
        <x:v>6750000</x:v>
      </x:c>
      <x:c r="AI7" s="162" t="n">
        <x:f>AH7</x:f>
        <x:v>6750000</x:v>
      </x:c>
      <x:c r="AJ7" s="162" t="n">
        <x:f>AI7</x:f>
        <x:v>6750000</x:v>
      </x:c>
      <x:c r="AK7" s="162" t="n">
        <x:f>AJ7</x:f>
        <x:v>6750000</x:v>
      </x:c>
      <x:c r="AL7" s="162" t="n">
        <x:f>AK7</x:f>
        <x:v>6750000</x:v>
      </x:c>
      <x:c r="AM7" s="162" t="n">
        <x:f>AL7</x:f>
        <x:v>6750000</x:v>
      </x:c>
    </x:row>
    <x:row r="8">
      <x:c r="A8" s="161" t="str">
        <x:v>Class A closing</x:v>
      </x:c>
      <x:c r="B8" s="146" t="str">
        <x:v>USD</x:v>
      </x:c>
      <x:c r="C8" s="162" t="n">
        <x:f>C5-C7</x:f>
        <x:v>0</x:v>
      </x:c>
      <x:c r="D8" s="162" t="n">
        <x:f>C8</x:f>
        <x:v>0</x:v>
      </x:c>
      <x:c r="E8" s="162" t="n">
        <x:f>D8</x:f>
        <x:v>0</x:v>
      </x:c>
      <x:c r="F8" s="162" t="n">
        <x:f>E8</x:f>
        <x:v>0</x:v>
      </x:c>
      <x:c r="G8" s="162" t="n">
        <x:f>F8</x:f>
        <x:v>0</x:v>
      </x:c>
      <x:c r="H8" s="162" t="n">
        <x:f>G8</x:f>
        <x:v>0</x:v>
      </x:c>
      <x:c r="I8" s="162" t="n">
        <x:f>H8</x:f>
        <x:v>0</x:v>
      </x:c>
      <x:c r="J8" s="162" t="n">
        <x:f>I8</x:f>
        <x:v>0</x:v>
      </x:c>
      <x:c r="K8" s="162" t="n">
        <x:f>J8</x:f>
        <x:v>0</x:v>
      </x:c>
      <x:c r="L8" s="162" t="n">
        <x:f>K8</x:f>
        <x:v>0</x:v>
      </x:c>
      <x:c r="M8" s="162" t="n">
        <x:f>L8</x:f>
        <x:v>0</x:v>
      </x:c>
      <x:c r="N8" s="162" t="n">
        <x:f>M8</x:f>
        <x:v>0</x:v>
      </x:c>
      <x:c r="O8" s="162" t="n">
        <x:f>N8</x:f>
        <x:v>0</x:v>
      </x:c>
      <x:c r="P8" s="162" t="n">
        <x:f>O8</x:f>
        <x:v>0</x:v>
      </x:c>
      <x:c r="Q8" s="162" t="n">
        <x:f>P8</x:f>
        <x:v>0</x:v>
      </x:c>
      <x:c r="R8" s="162" t="n">
        <x:f>Q8</x:f>
        <x:v>0</x:v>
      </x:c>
      <x:c r="S8" s="162" t="n">
        <x:f>R8</x:f>
        <x:v>0</x:v>
      </x:c>
      <x:c r="T8" s="162" t="n">
        <x:f>S8</x:f>
        <x:v>0</x:v>
      </x:c>
      <x:c r="U8" s="162" t="n">
        <x:f>T8</x:f>
        <x:v>0</x:v>
      </x:c>
      <x:c r="V8" s="162" t="n">
        <x:f>U8</x:f>
        <x:v>0</x:v>
      </x:c>
      <x:c r="W8" s="162" t="n">
        <x:f>V8</x:f>
        <x:v>0</x:v>
      </x:c>
      <x:c r="X8" s="162" t="n">
        <x:f>W8</x:f>
        <x:v>0</x:v>
      </x:c>
      <x:c r="Y8" s="162" t="n">
        <x:f>X8</x:f>
        <x:v>0</x:v>
      </x:c>
      <x:c r="Z8" s="162" t="n">
        <x:f>Y8</x:f>
        <x:v>0</x:v>
      </x:c>
      <x:c r="AA8" s="162" t="n">
        <x:f>Z8</x:f>
        <x:v>0</x:v>
      </x:c>
      <x:c r="AB8" s="162" t="n">
        <x:f>AA8</x:f>
        <x:v>0</x:v>
      </x:c>
      <x:c r="AC8" s="162" t="n">
        <x:f>AB8</x:f>
        <x:v>0</x:v>
      </x:c>
      <x:c r="AD8" s="162" t="n">
        <x:f>AC8</x:f>
        <x:v>0</x:v>
      </x:c>
      <x:c r="AE8" s="162" t="n">
        <x:f>AD8</x:f>
        <x:v>0</x:v>
      </x:c>
      <x:c r="AF8" s="162" t="n">
        <x:f>AE8</x:f>
        <x:v>0</x:v>
      </x:c>
      <x:c r="AG8" s="162" t="n">
        <x:f>AF8</x:f>
        <x:v>0</x:v>
      </x:c>
      <x:c r="AH8" s="162" t="n">
        <x:f>AG8</x:f>
        <x:v>0</x:v>
      </x:c>
      <x:c r="AI8" s="162" t="n">
        <x:f>AH8</x:f>
        <x:v>0</x:v>
      </x:c>
      <x:c r="AJ8" s="162" t="n">
        <x:f>AI8</x:f>
        <x:v>0</x:v>
      </x:c>
      <x:c r="AK8" s="162" t="n">
        <x:f>AJ8</x:f>
        <x:v>0</x:v>
      </x:c>
      <x:c r="AL8" s="162" t="n">
        <x:f>AK8</x:f>
        <x:v>0</x:v>
      </x:c>
      <x:c r="AM8" s="162" t="n">
        <x:f>AL8</x:f>
        <x:v>0</x:v>
      </x:c>
    </x:row>
    <x:row r="9">
      <x:c r="A9" s="161" t="str">
        <x:v>Class B opening</x:v>
      </x:c>
      <x:c r="B9" s="146" t="str">
        <x:v>USD</x:v>
      </x:c>
      <x:c r="C9" s="162" t="n">
        <x:f>'Summary'!B8</x:f>
        <x:v>1350000</x:v>
      </x:c>
      <x:c r="D9" s="162" t="n">
        <x:f>C9</x:f>
        <x:v>1350000</x:v>
      </x:c>
      <x:c r="E9" s="162" t="n">
        <x:f>D9</x:f>
        <x:v>1350000</x:v>
      </x:c>
      <x:c r="F9" s="162" t="n">
        <x:f>E9</x:f>
        <x:v>1350000</x:v>
      </x:c>
      <x:c r="G9" s="162" t="n">
        <x:f>F9</x:f>
        <x:v>1350000</x:v>
      </x:c>
      <x:c r="H9" s="162" t="n">
        <x:f>G9</x:f>
        <x:v>1350000</x:v>
      </x:c>
      <x:c r="I9" s="162" t="n">
        <x:f>H9</x:f>
        <x:v>1350000</x:v>
      </x:c>
      <x:c r="J9" s="162" t="n">
        <x:f>I9</x:f>
        <x:v>1350000</x:v>
      </x:c>
      <x:c r="K9" s="162" t="n">
        <x:f>J9</x:f>
        <x:v>1350000</x:v>
      </x:c>
      <x:c r="L9" s="162" t="n">
        <x:f>K9</x:f>
        <x:v>1350000</x:v>
      </x:c>
      <x:c r="M9" s="162" t="n">
        <x:f>L9</x:f>
        <x:v>1350000</x:v>
      </x:c>
      <x:c r="N9" s="162" t="n">
        <x:f>M9</x:f>
        <x:v>1350000</x:v>
      </x:c>
      <x:c r="O9" s="162" t="n">
        <x:f>N9</x:f>
        <x:v>1350000</x:v>
      </x:c>
      <x:c r="P9" s="162" t="n">
        <x:f>O9</x:f>
        <x:v>1350000</x:v>
      </x:c>
      <x:c r="Q9" s="162" t="n">
        <x:f>P9</x:f>
        <x:v>1350000</x:v>
      </x:c>
      <x:c r="R9" s="162" t="n">
        <x:f>Q9</x:f>
        <x:v>1350000</x:v>
      </x:c>
      <x:c r="S9" s="162" t="n">
        <x:f>R9</x:f>
        <x:v>1350000</x:v>
      </x:c>
      <x:c r="T9" s="162" t="n">
        <x:f>S9</x:f>
        <x:v>1350000</x:v>
      </x:c>
      <x:c r="U9" s="162" t="n">
        <x:f>T9</x:f>
        <x:v>1350000</x:v>
      </x:c>
      <x:c r="V9" s="162" t="n">
        <x:f>U9</x:f>
        <x:v>1350000</x:v>
      </x:c>
      <x:c r="W9" s="162" t="n">
        <x:f>V9</x:f>
        <x:v>1350000</x:v>
      </x:c>
      <x:c r="X9" s="162" t="n">
        <x:f>W9</x:f>
        <x:v>1350000</x:v>
      </x:c>
      <x:c r="Y9" s="162" t="n">
        <x:f>X9</x:f>
        <x:v>1350000</x:v>
      </x:c>
      <x:c r="Z9" s="162" t="n">
        <x:f>Y9</x:f>
        <x:v>1350000</x:v>
      </x:c>
      <x:c r="AA9" s="162" t="n">
        <x:f>Z9</x:f>
        <x:v>1350000</x:v>
      </x:c>
      <x:c r="AB9" s="162" t="n">
        <x:f>AA9</x:f>
        <x:v>1350000</x:v>
      </x:c>
      <x:c r="AC9" s="162" t="n">
        <x:f>AB9</x:f>
        <x:v>1350000</x:v>
      </x:c>
      <x:c r="AD9" s="162" t="n">
        <x:f>AC9</x:f>
        <x:v>1350000</x:v>
      </x:c>
      <x:c r="AE9" s="162" t="n">
        <x:f>AD9</x:f>
        <x:v>1350000</x:v>
      </x:c>
      <x:c r="AF9" s="162" t="n">
        <x:f>AE9</x:f>
        <x:v>1350000</x:v>
      </x:c>
      <x:c r="AG9" s="162" t="n">
        <x:f>AF9</x:f>
        <x:v>1350000</x:v>
      </x:c>
      <x:c r="AH9" s="162" t="n">
        <x:f>AG9</x:f>
        <x:v>1350000</x:v>
      </x:c>
      <x:c r="AI9" s="162" t="n">
        <x:f>AH9</x:f>
        <x:v>1350000</x:v>
      </x:c>
      <x:c r="AJ9" s="162" t="n">
        <x:f>AI9</x:f>
        <x:v>1350000</x:v>
      </x:c>
      <x:c r="AK9" s="162" t="n">
        <x:f>AJ9</x:f>
        <x:v>1350000</x:v>
      </x:c>
      <x:c r="AL9" s="162" t="n">
        <x:f>AK9</x:f>
        <x:v>1350000</x:v>
      </x:c>
      <x:c r="AM9" s="162" t="n">
        <x:f>AL9</x:f>
        <x:v>1350000</x:v>
      </x:c>
    </x:row>
    <x:row r="10">
      <x:c r="A10" s="161" t="str">
        <x:v>Class B interest</x:v>
      </x:c>
      <x:c r="B10" s="146" t="str">
        <x:v>USD</x:v>
      </x:c>
      <x:c r="C10" s="162" t="n">
        <x:f>C9*'Assumptions'!B14/12</x:f>
        <x:v>22500</x:v>
      </x:c>
      <x:c r="D10" s="162" t="n">
        <x:f>C10</x:f>
        <x:v>22500</x:v>
      </x:c>
      <x:c r="E10" s="162" t="n">
        <x:f>D10</x:f>
        <x:v>22500</x:v>
      </x:c>
      <x:c r="F10" s="162" t="n">
        <x:f>E10</x:f>
        <x:v>22500</x:v>
      </x:c>
      <x:c r="G10" s="162" t="n">
        <x:f>F10</x:f>
        <x:v>22500</x:v>
      </x:c>
      <x:c r="H10" s="162" t="n">
        <x:f>G10</x:f>
        <x:v>22500</x:v>
      </x:c>
      <x:c r="I10" s="162" t="n">
        <x:f>H10</x:f>
        <x:v>22500</x:v>
      </x:c>
      <x:c r="J10" s="162" t="n">
        <x:f>I10</x:f>
        <x:v>22500</x:v>
      </x:c>
      <x:c r="K10" s="162" t="n">
        <x:f>J10</x:f>
        <x:v>22500</x:v>
      </x:c>
      <x:c r="L10" s="162" t="n">
        <x:f>K10</x:f>
        <x:v>22500</x:v>
      </x:c>
      <x:c r="M10" s="162" t="n">
        <x:f>L10</x:f>
        <x:v>22500</x:v>
      </x:c>
      <x:c r="N10" s="162" t="n">
        <x:f>M10</x:f>
        <x:v>22500</x:v>
      </x:c>
      <x:c r="O10" s="162" t="n">
        <x:f>N10</x:f>
        <x:v>22500</x:v>
      </x:c>
      <x:c r="P10" s="162" t="n">
        <x:f>O10</x:f>
        <x:v>22500</x:v>
      </x:c>
      <x:c r="Q10" s="162" t="n">
        <x:f>P10</x:f>
        <x:v>22500</x:v>
      </x:c>
      <x:c r="R10" s="162" t="n">
        <x:f>Q10</x:f>
        <x:v>22500</x:v>
      </x:c>
      <x:c r="S10" s="162" t="n">
        <x:f>R10</x:f>
        <x:v>22500</x:v>
      </x:c>
      <x:c r="T10" s="162" t="n">
        <x:f>S10</x:f>
        <x:v>22500</x:v>
      </x:c>
      <x:c r="U10" s="162" t="n">
        <x:f>T10</x:f>
        <x:v>22500</x:v>
      </x:c>
      <x:c r="V10" s="162" t="n">
        <x:f>U10</x:f>
        <x:v>22500</x:v>
      </x:c>
      <x:c r="W10" s="162" t="n">
        <x:f>V10</x:f>
        <x:v>22500</x:v>
      </x:c>
      <x:c r="X10" s="162" t="n">
        <x:f>W10</x:f>
        <x:v>22500</x:v>
      </x:c>
      <x:c r="Y10" s="162" t="n">
        <x:f>X10</x:f>
        <x:v>22500</x:v>
      </x:c>
      <x:c r="Z10" s="162" t="n">
        <x:f>Y10</x:f>
        <x:v>22500</x:v>
      </x:c>
      <x:c r="AA10" s="162" t="n">
        <x:f>Z10</x:f>
        <x:v>22500</x:v>
      </x:c>
      <x:c r="AB10" s="162" t="n">
        <x:f>AA10</x:f>
        <x:v>22500</x:v>
      </x:c>
      <x:c r="AC10" s="162" t="n">
        <x:f>AB10</x:f>
        <x:v>22500</x:v>
      </x:c>
      <x:c r="AD10" s="162" t="n">
        <x:f>AC10</x:f>
        <x:v>22500</x:v>
      </x:c>
      <x:c r="AE10" s="162" t="n">
        <x:f>AD10</x:f>
        <x:v>22500</x:v>
      </x:c>
      <x:c r="AF10" s="162" t="n">
        <x:f>AE10</x:f>
        <x:v>22500</x:v>
      </x:c>
      <x:c r="AG10" s="162" t="n">
        <x:f>AF10</x:f>
        <x:v>22500</x:v>
      </x:c>
      <x:c r="AH10" s="162" t="n">
        <x:f>AG10</x:f>
        <x:v>22500</x:v>
      </x:c>
      <x:c r="AI10" s="162" t="n">
        <x:f>AH10</x:f>
        <x:v>22500</x:v>
      </x:c>
      <x:c r="AJ10" s="162" t="n">
        <x:f>AI10</x:f>
        <x:v>22500</x:v>
      </x:c>
      <x:c r="AK10" s="162" t="n">
        <x:f>AJ10</x:f>
        <x:v>22500</x:v>
      </x:c>
      <x:c r="AL10" s="162" t="n">
        <x:f>AK10</x:f>
        <x:v>22500</x:v>
      </x:c>
      <x:c r="AM10" s="162" t="n">
        <x:f>AL10</x:f>
        <x:v>22500</x:v>
      </x:c>
    </x:row>
    <x:row r="11">
      <x:c r="A11" s="161" t="str">
        <x:v>Class B principal</x:v>
      </x:c>
      <x:c r="B11" s="146" t="str">
        <x:v>USD</x:v>
      </x:c>
      <x:c r="C11" s="162" t="n">
        <x:f>MIN(C9,'Collections_Losses'!D6/'Assumptions'!B9-C7)</x:f>
        <x:v>1350000</x:v>
      </x:c>
      <x:c r="D11" s="162" t="n">
        <x:f>C11</x:f>
        <x:v>1350000</x:v>
      </x:c>
      <x:c r="E11" s="162" t="n">
        <x:f>D11</x:f>
        <x:v>1350000</x:v>
      </x:c>
      <x:c r="F11" s="162" t="n">
        <x:f>E11</x:f>
        <x:v>1350000</x:v>
      </x:c>
      <x:c r="G11" s="162" t="n">
        <x:f>F11</x:f>
        <x:v>1350000</x:v>
      </x:c>
      <x:c r="H11" s="162" t="n">
        <x:f>G11</x:f>
        <x:v>1350000</x:v>
      </x:c>
      <x:c r="I11" s="162" t="n">
        <x:f>H11</x:f>
        <x:v>1350000</x:v>
      </x:c>
      <x:c r="J11" s="162" t="n">
        <x:f>I11</x:f>
        <x:v>1350000</x:v>
      </x:c>
      <x:c r="K11" s="162" t="n">
        <x:f>J11</x:f>
        <x:v>1350000</x:v>
      </x:c>
      <x:c r="L11" s="162" t="n">
        <x:f>K11</x:f>
        <x:v>1350000</x:v>
      </x:c>
      <x:c r="M11" s="162" t="n">
        <x:f>L11</x:f>
        <x:v>1350000</x:v>
      </x:c>
      <x:c r="N11" s="162" t="n">
        <x:f>M11</x:f>
        <x:v>1350000</x:v>
      </x:c>
      <x:c r="O11" s="162" t="n">
        <x:f>N11</x:f>
        <x:v>1350000</x:v>
      </x:c>
      <x:c r="P11" s="162" t="n">
        <x:f>O11</x:f>
        <x:v>1350000</x:v>
      </x:c>
      <x:c r="Q11" s="162" t="n">
        <x:f>P11</x:f>
        <x:v>1350000</x:v>
      </x:c>
      <x:c r="R11" s="162" t="n">
        <x:f>Q11</x:f>
        <x:v>1350000</x:v>
      </x:c>
      <x:c r="S11" s="162" t="n">
        <x:f>R11</x:f>
        <x:v>1350000</x:v>
      </x:c>
      <x:c r="T11" s="162" t="n">
        <x:f>S11</x:f>
        <x:v>1350000</x:v>
      </x:c>
      <x:c r="U11" s="162" t="n">
        <x:f>T11</x:f>
        <x:v>1350000</x:v>
      </x:c>
      <x:c r="V11" s="162" t="n">
        <x:f>U11</x:f>
        <x:v>1350000</x:v>
      </x:c>
      <x:c r="W11" s="162" t="n">
        <x:f>V11</x:f>
        <x:v>1350000</x:v>
      </x:c>
      <x:c r="X11" s="162" t="n">
        <x:f>W11</x:f>
        <x:v>1350000</x:v>
      </x:c>
      <x:c r="Y11" s="162" t="n">
        <x:f>X11</x:f>
        <x:v>1350000</x:v>
      </x:c>
      <x:c r="Z11" s="162" t="n">
        <x:f>Y11</x:f>
        <x:v>1350000</x:v>
      </x:c>
      <x:c r="AA11" s="162" t="n">
        <x:f>Z11</x:f>
        <x:v>1350000</x:v>
      </x:c>
      <x:c r="AB11" s="162" t="n">
        <x:f>AA11</x:f>
        <x:v>1350000</x:v>
      </x:c>
      <x:c r="AC11" s="162" t="n">
        <x:f>AB11</x:f>
        <x:v>1350000</x:v>
      </x:c>
      <x:c r="AD11" s="162" t="n">
        <x:f>AC11</x:f>
        <x:v>1350000</x:v>
      </x:c>
      <x:c r="AE11" s="162" t="n">
        <x:f>AD11</x:f>
        <x:v>1350000</x:v>
      </x:c>
      <x:c r="AF11" s="162" t="n">
        <x:f>AE11</x:f>
        <x:v>1350000</x:v>
      </x:c>
      <x:c r="AG11" s="162" t="n">
        <x:f>AF11</x:f>
        <x:v>1350000</x:v>
      </x:c>
      <x:c r="AH11" s="162" t="n">
        <x:f>AG11</x:f>
        <x:v>1350000</x:v>
      </x:c>
      <x:c r="AI11" s="162" t="n">
        <x:f>AH11</x:f>
        <x:v>1350000</x:v>
      </x:c>
      <x:c r="AJ11" s="162" t="n">
        <x:f>AI11</x:f>
        <x:v>1350000</x:v>
      </x:c>
      <x:c r="AK11" s="162" t="n">
        <x:f>AJ11</x:f>
        <x:v>1350000</x:v>
      </x:c>
      <x:c r="AL11" s="162" t="n">
        <x:f>AK11</x:f>
        <x:v>1350000</x:v>
      </x:c>
      <x:c r="AM11" s="162" t="n">
        <x:f>AL11</x:f>
        <x:v>1350000</x:v>
      </x:c>
    </x:row>
    <x:row r="12">
      <x:c r="A12" s="161" t="str">
        <x:v>Class B closing</x:v>
      </x:c>
      <x:c r="B12" s="146" t="str">
        <x:v>USD</x:v>
      </x:c>
      <x:c r="C12" s="162" t="n">
        <x:f>C9-C11</x:f>
        <x:v>0</x:v>
      </x:c>
      <x:c r="D12" s="162" t="n">
        <x:f>C12</x:f>
        <x:v>0</x:v>
      </x:c>
      <x:c r="E12" s="162" t="n">
        <x:f>D12</x:f>
        <x:v>0</x:v>
      </x:c>
      <x:c r="F12" s="162" t="n">
        <x:f>E12</x:f>
        <x:v>0</x:v>
      </x:c>
      <x:c r="G12" s="162" t="n">
        <x:f>F12</x:f>
        <x:v>0</x:v>
      </x:c>
      <x:c r="H12" s="162" t="n">
        <x:f>G12</x:f>
        <x:v>0</x:v>
      </x:c>
      <x:c r="I12" s="162" t="n">
        <x:f>H12</x:f>
        <x:v>0</x:v>
      </x:c>
      <x:c r="J12" s="162" t="n">
        <x:f>I12</x:f>
        <x:v>0</x:v>
      </x:c>
      <x:c r="K12" s="162" t="n">
        <x:f>J12</x:f>
        <x:v>0</x:v>
      </x:c>
      <x:c r="L12" s="162" t="n">
        <x:f>K12</x:f>
        <x:v>0</x:v>
      </x:c>
      <x:c r="M12" s="162" t="n">
        <x:f>L12</x:f>
        <x:v>0</x:v>
      </x:c>
      <x:c r="N12" s="162" t="n">
        <x:f>M12</x:f>
        <x:v>0</x:v>
      </x:c>
      <x:c r="O12" s="162" t="n">
        <x:f>N12</x:f>
        <x:v>0</x:v>
      </x:c>
      <x:c r="P12" s="162" t="n">
        <x:f>O12</x:f>
        <x:v>0</x:v>
      </x:c>
      <x:c r="Q12" s="162" t="n">
        <x:f>P12</x:f>
        <x:v>0</x:v>
      </x:c>
      <x:c r="R12" s="162" t="n">
        <x:f>Q12</x:f>
        <x:v>0</x:v>
      </x:c>
      <x:c r="S12" s="162" t="n">
        <x:f>R12</x:f>
        <x:v>0</x:v>
      </x:c>
      <x:c r="T12" s="162" t="n">
        <x:f>S12</x:f>
        <x:v>0</x:v>
      </x:c>
      <x:c r="U12" s="162" t="n">
        <x:f>T12</x:f>
        <x:v>0</x:v>
      </x:c>
      <x:c r="V12" s="162" t="n">
        <x:f>U12</x:f>
        <x:v>0</x:v>
      </x:c>
      <x:c r="W12" s="162" t="n">
        <x:f>V12</x:f>
        <x:v>0</x:v>
      </x:c>
      <x:c r="X12" s="162" t="n">
        <x:f>W12</x:f>
        <x:v>0</x:v>
      </x:c>
      <x:c r="Y12" s="162" t="n">
        <x:f>X12</x:f>
        <x:v>0</x:v>
      </x:c>
      <x:c r="Z12" s="162" t="n">
        <x:f>Y12</x:f>
        <x:v>0</x:v>
      </x:c>
      <x:c r="AA12" s="162" t="n">
        <x:f>Z12</x:f>
        <x:v>0</x:v>
      </x:c>
      <x:c r="AB12" s="162" t="n">
        <x:f>AA12</x:f>
        <x:v>0</x:v>
      </x:c>
      <x:c r="AC12" s="162" t="n">
        <x:f>AB12</x:f>
        <x:v>0</x:v>
      </x:c>
      <x:c r="AD12" s="162" t="n">
        <x:f>AC12</x:f>
        <x:v>0</x:v>
      </x:c>
      <x:c r="AE12" s="162" t="n">
        <x:f>AD12</x:f>
        <x:v>0</x:v>
      </x:c>
      <x:c r="AF12" s="162" t="n">
        <x:f>AE12</x:f>
        <x:v>0</x:v>
      </x:c>
      <x:c r="AG12" s="162" t="n">
        <x:f>AF12</x:f>
        <x:v>0</x:v>
      </x:c>
      <x:c r="AH12" s="162" t="n">
        <x:f>AG12</x:f>
        <x:v>0</x:v>
      </x:c>
      <x:c r="AI12" s="162" t="n">
        <x:f>AH12</x:f>
        <x:v>0</x:v>
      </x:c>
      <x:c r="AJ12" s="162" t="n">
        <x:f>AI12</x:f>
        <x:v>0</x:v>
      </x:c>
      <x:c r="AK12" s="162" t="n">
        <x:f>AJ12</x:f>
        <x:v>0</x:v>
      </x:c>
      <x:c r="AL12" s="162" t="n">
        <x:f>AK12</x:f>
        <x:v>0</x:v>
      </x:c>
      <x:c r="AM12" s="162" t="n">
        <x:f>AL12</x:f>
        <x:v>0</x:v>
      </x:c>
    </x:row>
    <x:row r="13">
      <x:c r="A13" s="161" t="str">
        <x:v>Total debt service</x:v>
      </x:c>
      <x:c r="B13" s="146" t="str">
        <x:v>USD</x:v>
      </x:c>
      <x:c r="C13" s="162" t="n">
        <x:f>C6+C7+C10+C11</x:f>
        <x:v>8192812.5</x:v>
      </x:c>
      <x:c r="D13" s="162" t="n">
        <x:f>C13</x:f>
        <x:v>8192812.5</x:v>
      </x:c>
      <x:c r="E13" s="162" t="n">
        <x:f>D13</x:f>
        <x:v>8192812.5</x:v>
      </x:c>
      <x:c r="F13" s="162" t="n">
        <x:f>E13</x:f>
        <x:v>8192812.5</x:v>
      </x:c>
      <x:c r="G13" s="162" t="n">
        <x:f>F13</x:f>
        <x:v>8192812.5</x:v>
      </x:c>
      <x:c r="H13" s="162" t="n">
        <x:f>G13</x:f>
        <x:v>8192812.5</x:v>
      </x:c>
      <x:c r="I13" s="162" t="n">
        <x:f>H13</x:f>
        <x:v>8192812.5</x:v>
      </x:c>
      <x:c r="J13" s="162" t="n">
        <x:f>I13</x:f>
        <x:v>8192812.5</x:v>
      </x:c>
      <x:c r="K13" s="162" t="n">
        <x:f>J13</x:f>
        <x:v>8192812.5</x:v>
      </x:c>
      <x:c r="L13" s="162" t="n">
        <x:f>K13</x:f>
        <x:v>8192812.5</x:v>
      </x:c>
      <x:c r="M13" s="162" t="n">
        <x:f>L13</x:f>
        <x:v>8192812.5</x:v>
      </x:c>
      <x:c r="N13" s="162" t="n">
        <x:f>M13</x:f>
        <x:v>8192812.5</x:v>
      </x:c>
      <x:c r="O13" s="162" t="n">
        <x:f>N13</x:f>
        <x:v>8192812.5</x:v>
      </x:c>
      <x:c r="P13" s="162" t="n">
        <x:f>O13</x:f>
        <x:v>8192812.5</x:v>
      </x:c>
      <x:c r="Q13" s="162" t="n">
        <x:f>P13</x:f>
        <x:v>8192812.5</x:v>
      </x:c>
      <x:c r="R13" s="162" t="n">
        <x:f>Q13</x:f>
        <x:v>8192812.5</x:v>
      </x:c>
      <x:c r="S13" s="162" t="n">
        <x:f>R13</x:f>
        <x:v>8192812.5</x:v>
      </x:c>
      <x:c r="T13" s="162" t="n">
        <x:f>S13</x:f>
        <x:v>8192812.5</x:v>
      </x:c>
      <x:c r="U13" s="162" t="n">
        <x:f>T13</x:f>
        <x:v>8192812.5</x:v>
      </x:c>
      <x:c r="V13" s="162" t="n">
        <x:f>U13</x:f>
        <x:v>8192812.5</x:v>
      </x:c>
      <x:c r="W13" s="162" t="n">
        <x:f>V13</x:f>
        <x:v>8192812.5</x:v>
      </x:c>
      <x:c r="X13" s="162" t="n">
        <x:f>W13</x:f>
        <x:v>8192812.5</x:v>
      </x:c>
      <x:c r="Y13" s="162" t="n">
        <x:f>X13</x:f>
        <x:v>8192812.5</x:v>
      </x:c>
      <x:c r="Z13" s="162" t="n">
        <x:f>Y13</x:f>
        <x:v>8192812.5</x:v>
      </x:c>
      <x:c r="AA13" s="162" t="n">
        <x:f>Z13</x:f>
        <x:v>8192812.5</x:v>
      </x:c>
      <x:c r="AB13" s="162" t="n">
        <x:f>AA13</x:f>
        <x:v>8192812.5</x:v>
      </x:c>
      <x:c r="AC13" s="162" t="n">
        <x:f>AB13</x:f>
        <x:v>8192812.5</x:v>
      </x:c>
      <x:c r="AD13" s="162" t="n">
        <x:f>AC13</x:f>
        <x:v>8192812.5</x:v>
      </x:c>
      <x:c r="AE13" s="162" t="n">
        <x:f>AD13</x:f>
        <x:v>8192812.5</x:v>
      </x:c>
      <x:c r="AF13" s="162" t="n">
        <x:f>AE13</x:f>
        <x:v>8192812.5</x:v>
      </x:c>
      <x:c r="AG13" s="162" t="n">
        <x:f>AF13</x:f>
        <x:v>8192812.5</x:v>
      </x:c>
      <x:c r="AH13" s="162" t="n">
        <x:f>AG13</x:f>
        <x:v>8192812.5</x:v>
      </x:c>
      <x:c r="AI13" s="162" t="n">
        <x:f>AH13</x:f>
        <x:v>8192812.5</x:v>
      </x:c>
      <x:c r="AJ13" s="162" t="n">
        <x:f>AI13</x:f>
        <x:v>8192812.5</x:v>
      </x:c>
      <x:c r="AK13" s="162" t="n">
        <x:f>AJ13</x:f>
        <x:v>8192812.5</x:v>
      </x:c>
      <x:c r="AL13" s="162" t="n">
        <x:f>AK13</x:f>
        <x:v>8192812.5</x:v>
      </x:c>
      <x:c r="AM13" s="162" t="n">
        <x:f>AL13</x:f>
        <x:v>8192812.5</x:v>
      </x:c>
    </x:row>
    <x:row r="14">
      <x:c r="A14" s="161" t="str">
        <x:v>DSCR</x:v>
      </x:c>
      <x:c r="B14" s="146" t="str">
        <x:v>x</x:v>
      </x:c>
      <x:c r="C14" s="165" t="n">
        <x:f>IFERROR('Collections_Losses'!D10/'Assumptions'!B9/C13,0)</x:f>
        <x:v>886735.2888540016</x:v>
      </x:c>
      <x:c r="D14" s="165" t="n">
        <x:f>C14</x:f>
        <x:v>886735.2888540016</x:v>
      </x:c>
      <x:c r="E14" s="165" t="n">
        <x:f>D14</x:f>
        <x:v>886735.2888540016</x:v>
      </x:c>
      <x:c r="F14" s="165" t="n">
        <x:f>E14</x:f>
        <x:v>886735.2888540016</x:v>
      </x:c>
      <x:c r="G14" s="165" t="n">
        <x:f>F14</x:f>
        <x:v>886735.2888540016</x:v>
      </x:c>
      <x:c r="H14" s="165" t="n">
        <x:f>G14</x:f>
        <x:v>886735.2888540016</x:v>
      </x:c>
      <x:c r="I14" s="165" t="n">
        <x:f>H14</x:f>
        <x:v>886735.2888540016</x:v>
      </x:c>
      <x:c r="J14" s="165" t="n">
        <x:f>I14</x:f>
        <x:v>886735.2888540016</x:v>
      </x:c>
      <x:c r="K14" s="165" t="n">
        <x:f>J14</x:f>
        <x:v>886735.2888540016</x:v>
      </x:c>
      <x:c r="L14" s="165" t="n">
        <x:f>K14</x:f>
        <x:v>886735.2888540016</x:v>
      </x:c>
      <x:c r="M14" s="165" t="n">
        <x:f>L14</x:f>
        <x:v>886735.2888540016</x:v>
      </x:c>
      <x:c r="N14" s="165" t="n">
        <x:f>M14</x:f>
        <x:v>886735.2888540016</x:v>
      </x:c>
      <x:c r="O14" s="165" t="n">
        <x:f>N14</x:f>
        <x:v>886735.2888540016</x:v>
      </x:c>
      <x:c r="P14" s="165" t="n">
        <x:f>O14</x:f>
        <x:v>886735.2888540016</x:v>
      </x:c>
      <x:c r="Q14" s="165" t="n">
        <x:f>P14</x:f>
        <x:v>886735.2888540016</x:v>
      </x:c>
      <x:c r="R14" s="165" t="n">
        <x:f>Q14</x:f>
        <x:v>886735.2888540016</x:v>
      </x:c>
      <x:c r="S14" s="165" t="n">
        <x:f>R14</x:f>
        <x:v>886735.2888540016</x:v>
      </x:c>
      <x:c r="T14" s="165" t="n">
        <x:f>S14</x:f>
        <x:v>886735.2888540016</x:v>
      </x:c>
      <x:c r="U14" s="165" t="n">
        <x:f>T14</x:f>
        <x:v>886735.2888540016</x:v>
      </x:c>
      <x:c r="V14" s="165" t="n">
        <x:f>U14</x:f>
        <x:v>886735.2888540016</x:v>
      </x:c>
      <x:c r="W14" s="165" t="n">
        <x:f>V14</x:f>
        <x:v>886735.2888540016</x:v>
      </x:c>
      <x:c r="X14" s="165" t="n">
        <x:f>W14</x:f>
        <x:v>886735.2888540016</x:v>
      </x:c>
      <x:c r="Y14" s="165" t="n">
        <x:f>X14</x:f>
        <x:v>886735.2888540016</x:v>
      </x:c>
      <x:c r="Z14" s="165" t="n">
        <x:f>Y14</x:f>
        <x:v>886735.2888540016</x:v>
      </x:c>
      <x:c r="AA14" s="165" t="n">
        <x:f>Z14</x:f>
        <x:v>886735.2888540016</x:v>
      </x:c>
      <x:c r="AB14" s="165" t="n">
        <x:f>AA14</x:f>
        <x:v>886735.2888540016</x:v>
      </x:c>
      <x:c r="AC14" s="165" t="n">
        <x:f>AB14</x:f>
        <x:v>886735.2888540016</x:v>
      </x:c>
      <x:c r="AD14" s="165" t="n">
        <x:f>AC14</x:f>
        <x:v>886735.2888540016</x:v>
      </x:c>
      <x:c r="AE14" s="165" t="n">
        <x:f>AD14</x:f>
        <x:v>886735.2888540016</x:v>
      </x:c>
      <x:c r="AF14" s="165" t="n">
        <x:f>AE14</x:f>
        <x:v>886735.2888540016</x:v>
      </x:c>
      <x:c r="AG14" s="165" t="n">
        <x:f>AF14</x:f>
        <x:v>886735.2888540016</x:v>
      </x:c>
      <x:c r="AH14" s="165" t="n">
        <x:f>AG14</x:f>
        <x:v>886735.2888540016</x:v>
      </x:c>
      <x:c r="AI14" s="165" t="n">
        <x:f>AH14</x:f>
        <x:v>886735.2888540016</x:v>
      </x:c>
      <x:c r="AJ14" s="165" t="n">
        <x:f>AI14</x:f>
        <x:v>886735.2888540016</x:v>
      </x:c>
      <x:c r="AK14" s="165" t="n">
        <x:f>AJ14</x:f>
        <x:v>886735.2888540016</x:v>
      </x:c>
      <x:c r="AL14" s="165" t="n">
        <x:f>AK14</x:f>
        <x:v>886735.2888540016</x:v>
      </x:c>
      <x:c r="AM14" s="165" t="n">
        <x:f>AL14</x:f>
        <x:v>886735.2888540016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40" hidden="0" customWidth="1"/>
  </x:cols>
  <x:sheetData>
    <x:row r="1" ht="28" customHeight="1">
      <x:c r="A1" s="144" t="str">
        <x:v>Reserves and Overcollateralisation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CRA and OC tests with transparent collateral convention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4" t="str">
        <x:v>Metric</x:v>
      </x:c>
      <x:c r="B4" s="154" t="str">
        <x:v>Value</x:v>
      </x:c>
      <x:c r="C4" s="154" t="str">
        <x:v>Unit</x:v>
      </x:c>
      <x:c r="D4" s="154" t="str">
        <x:v>Formula / interpretation</x:v>
      </x:c>
      <x:c r="E4" s="146"/>
      <x:c r="F4" s="146"/>
      <x:c r="G4" s="146"/>
      <x:c r="H4" s="146"/>
    </x:row>
    <x:row r="5">
      <x:c r="A5" s="148" t="str">
        <x:v>Eligible receivables</x:v>
      </x:c>
      <x:c r="B5" s="151" t="n">
        <x:f>'Summary'!B6</x:f>
        <x:v>12000000</x:v>
      </x:c>
      <x:c r="C5" s="148" t="str">
        <x:v>USD</x:v>
      </x:c>
      <x:c r="D5" s="148" t="str">
        <x:v>Total SPV capital / advance rate</x:v>
      </x:c>
      <x:c r="E5" s="146"/>
      <x:c r="F5" s="146"/>
      <x:c r="G5" s="146"/>
      <x:c r="H5" s="146"/>
    </x:row>
    <x:row r="6">
      <x:c r="A6" s="148" t="str">
        <x:v>Secured debt</x:v>
      </x:c>
      <x:c r="B6" s="151" t="n">
        <x:f>'Summary'!B7+'Summary'!B8</x:f>
        <x:v>8100000</x:v>
      </x:c>
      <x:c r="C6" s="148" t="str">
        <x:v>USD</x:v>
      </x:c>
      <x:c r="D6" s="148" t="str">
        <x:v>Class A + Class B</x:v>
      </x:c>
      <x:c r="E6" s="146"/>
      <x:c r="F6" s="146"/>
      <x:c r="G6" s="146"/>
      <x:c r="H6" s="146"/>
    </x:row>
    <x:row r="7">
      <x:c r="A7" s="148" t="str">
        <x:v>OC ratio</x:v>
      </x:c>
      <x:c r="B7" s="166" t="n">
        <x:f>B5/B6</x:f>
        <x:v>1.4814814814814814</x:v>
      </x:c>
      <x:c r="C7" s="148" t="str">
        <x:v>x</x:v>
      </x:c>
      <x:c r="D7" s="148" t="str">
        <x:v>Eligible receivables / secured debt</x:v>
      </x:c>
      <x:c r="E7" s="146"/>
      <x:c r="F7" s="146"/>
      <x:c r="G7" s="146"/>
      <x:c r="H7" s="146"/>
    </x:row>
    <x:row r="8">
      <x:c r="A8" s="148" t="str">
        <x:v>Required OC</x:v>
      </x:c>
      <x:c r="B8" s="166" t="n">
        <x:f>'Assumptions'!B10</x:f>
        <x:v>1.25</x:v>
      </x:c>
      <x:c r="C8" s="148" t="str">
        <x:v>x</x:v>
      </x:c>
      <x:c r="D8" s="148" t="str">
        <x:v>Term-sheet threshold</x:v>
      </x:c>
      <x:c r="E8" s="146"/>
      <x:c r="F8" s="146"/>
      <x:c r="G8" s="146"/>
      <x:c r="H8" s="146"/>
    </x:row>
    <x:row r="9">
      <x:c r="A9" s="148" t="str">
        <x:v>CRA required</x:v>
      </x:c>
      <x:c r="B9" s="151" t="n">
        <x:f>'Assumptions'!B11*SUM('Debt_Schedules'!D13:F13)</x:f>
        <x:v>73735312.5</x:v>
      </x:c>
      <x:c r="C9" s="148" t="str">
        <x:v>KES</x:v>
      </x:c>
      <x:c r="D9" s="148" t="str">
        <x:v>Three months debt service</x:v>
      </x:c>
      <x:c r="E9" s="146"/>
      <x:c r="F9" s="146"/>
      <x:c r="G9" s="146"/>
      <x:c r="H9" s="146"/>
    </x:row>
    <x:row r="10">
      <x:c r="A10" s="148" t="str">
        <x:v>CRA status</x:v>
      </x:c>
      <x:c r="B10" s="152" t="str">
        <x:f>IF(B9&gt;=B8,"PASS","SHORTFALL")</x:f>
        <x:v>PASS</x:v>
      </x:c>
      <x:c r="C10" s="148" t="str">
        <x:v>status</x:v>
      </x:c>
      <x:c r="D10" s="148" t="str">
        <x:v>PASS / SHORTFALL</x:v>
      </x:c>
      <x:c r="E10" s="146"/>
      <x:c r="F10" s="146"/>
      <x:c r="G10" s="146"/>
      <x:c r="H10" s="14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1" ht="28" customHeight="1">
      <x:c r="A1" s="144" t="str">
        <x:v>Covenants and Credit Policy Gate</x:v>
      </x:c>
      <x:c r="B1" s="144"/>
      <x:c r="C1" s="144"/>
      <x:c r="D1" s="144"/>
      <x:c r="E1" s="144"/>
      <x:c r="F1" s="144"/>
      <x:c r="G1" s="144"/>
      <x:c r="H1" s="144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  <x:c r="W1" s="146"/>
      <x:c r="X1" s="146"/>
      <x:c r="Y1" s="146"/>
      <x:c r="Z1" s="146"/>
      <x:c r="AA1" s="146"/>
      <x:c r="AB1" s="146"/>
      <x:c r="AC1" s="146"/>
      <x:c r="AD1" s="146"/>
      <x:c r="AE1" s="146"/>
      <x:c r="AF1" s="146"/>
      <x:c r="AG1" s="146"/>
      <x:c r="AH1" s="146"/>
      <x:c r="AI1" s="146"/>
      <x:c r="AJ1" s="146"/>
      <x:c r="AK1" s="146"/>
      <x:c r="AL1" s="146"/>
      <x:c r="AM1" s="146"/>
      <x:c r="AN1" s="146"/>
    </x:row>
    <x:row r="2">
      <x:c r="A2" s="145" t="str">
        <x:v>Hard-coded regulatory, policy and portfolio controls sit after Bayesian underwriting</x:v>
      </x:c>
      <x:c r="B2" s="145"/>
      <x:c r="C2" s="145"/>
      <x:c r="D2" s="145"/>
      <x:c r="E2" s="145"/>
      <x:c r="F2" s="145"/>
      <x:c r="G2" s="145"/>
      <x:c r="H2" s="145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  <x:c r="AB2" s="146"/>
      <x:c r="AC2" s="146"/>
      <x:c r="AD2" s="146"/>
      <x:c r="AE2" s="146"/>
      <x:c r="AF2" s="146"/>
      <x:c r="AG2" s="146"/>
      <x:c r="AH2" s="146"/>
      <x:c r="AI2" s="146"/>
      <x:c r="AJ2" s="146"/>
      <x:c r="AK2" s="146"/>
      <x:c r="AL2" s="146"/>
      <x:c r="AM2" s="146"/>
      <x:c r="AN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  <x:c r="AA3" s="146"/>
      <x:c r="AB3" s="146"/>
      <x:c r="AC3" s="146"/>
      <x:c r="AD3" s="146"/>
      <x:c r="AE3" s="146"/>
      <x:c r="AF3" s="146"/>
      <x:c r="AG3" s="146"/>
      <x:c r="AH3" s="146"/>
      <x:c r="AI3" s="146"/>
      <x:c r="AJ3" s="146"/>
      <x:c r="AK3" s="146"/>
      <x:c r="AL3" s="146"/>
      <x:c r="AM3" s="146"/>
      <x:c r="AN3" s="146"/>
    </x:row>
    <x:row r="4">
      <x:c r="A4" s="150" t="str">
        <x:v>Control</x:v>
      </x:c>
      <x:c r="B4" s="150" t="str">
        <x:v>Threshold</x:v>
      </x:c>
      <x:c r="C4" s="150" t="str">
        <x:v>Unit</x:v>
      </x:c>
      <x:c r="D4" s="150" t="str">
        <x:v>Action</x:v>
      </x:c>
      <x:c r="E4" s="150" t="str">
        <x:v>M01</x:v>
      </x:c>
      <x:c r="F4" s="150" t="str">
        <x:v>M02</x:v>
      </x:c>
      <x:c r="G4" s="150" t="str">
        <x:v>M03</x:v>
      </x:c>
      <x:c r="H4" s="150" t="str">
        <x:v>M04</x:v>
      </x:c>
      <x:c r="I4" s="150" t="str">
        <x:v>M05</x:v>
      </x:c>
      <x:c r="J4" s="150" t="str">
        <x:v>M06</x:v>
      </x:c>
      <x:c r="K4" s="150" t="str">
        <x:v>M07</x:v>
      </x:c>
      <x:c r="L4" s="150" t="str">
        <x:v>M08</x:v>
      </x:c>
      <x:c r="M4" s="150" t="str">
        <x:v>M09</x:v>
      </x:c>
      <x:c r="N4" s="150" t="str">
        <x:v>M10</x:v>
      </x:c>
      <x:c r="O4" s="150" t="str">
        <x:v>M11</x:v>
      </x:c>
      <x:c r="P4" s="150" t="str">
        <x:v>M12</x:v>
      </x:c>
      <x:c r="Q4" s="150" t="str">
        <x:v>M13</x:v>
      </x:c>
      <x:c r="R4" s="150" t="str">
        <x:v>M14</x:v>
      </x:c>
      <x:c r="S4" s="150" t="str">
        <x:v>M15</x:v>
      </x:c>
      <x:c r="T4" s="150" t="str">
        <x:v>M16</x:v>
      </x:c>
      <x:c r="U4" s="150" t="str">
        <x:v>M17</x:v>
      </x:c>
      <x:c r="V4" s="150" t="str">
        <x:v>M18</x:v>
      </x:c>
      <x:c r="W4" s="150" t="str">
        <x:v>M19</x:v>
      </x:c>
      <x:c r="X4" s="150" t="str">
        <x:v>M20</x:v>
      </x:c>
      <x:c r="Y4" s="150" t="str">
        <x:v>M21</x:v>
      </x:c>
      <x:c r="Z4" s="150" t="str">
        <x:v>M22</x:v>
      </x:c>
      <x:c r="AA4" s="150" t="str">
        <x:v>M23</x:v>
      </x:c>
      <x:c r="AB4" s="150" t="str">
        <x:v>M24</x:v>
      </x:c>
      <x:c r="AC4" s="150" t="str">
        <x:v>M25</x:v>
      </x:c>
      <x:c r="AD4" s="150" t="str">
        <x:v>M26</x:v>
      </x:c>
      <x:c r="AE4" s="150" t="str">
        <x:v>M27</x:v>
      </x:c>
      <x:c r="AF4" s="150" t="str">
        <x:v>M28</x:v>
      </x:c>
      <x:c r="AG4" s="150" t="str">
        <x:v>M29</x:v>
      </x:c>
      <x:c r="AH4" s="150" t="str">
        <x:v>M30</x:v>
      </x:c>
      <x:c r="AI4" s="150" t="str">
        <x:v>M31</x:v>
      </x:c>
      <x:c r="AJ4" s="150" t="str">
        <x:v>M32</x:v>
      </x:c>
      <x:c r="AK4" s="150" t="str">
        <x:v>M33</x:v>
      </x:c>
      <x:c r="AL4" s="150" t="str">
        <x:v>M34</x:v>
      </x:c>
      <x:c r="AM4" s="150" t="str">
        <x:v>M35</x:v>
      </x:c>
      <x:c r="AN4" s="146" t="str">
        <x:v>M36</x:v>
      </x:c>
    </x:row>
    <x:row r="5">
      <x:c r="A5" s="146" t="str">
        <x:v>PSI</x:v>
      </x:c>
      <x:c r="B5" s="158" t="n">
        <x:v>0.25</x:v>
      </x:c>
      <x:c r="C5" s="146" t="str">
        <x:v>score</x:v>
      </x:c>
      <x:c r="D5" s="146" t="str">
        <x:v>Freeze and recalibrate</x:v>
      </x:c>
      <x:c r="E5" s="146" t="n">
        <x:f>'Scenario_Control'!$B$9</x:f>
        <x:v>0</x:v>
      </x:c>
      <x:c r="F5" s="146" t="n">
        <x:f>'Scenario_Control'!$B$9</x:f>
        <x:v>0</x:v>
      </x:c>
      <x:c r="G5" s="146" t="n">
        <x:f>'Scenario_Control'!$B$9</x:f>
        <x:v>0</x:v>
      </x:c>
      <x:c r="H5" s="146" t="n">
        <x:f>'Scenario_Control'!$B$9</x:f>
        <x:v>0</x:v>
      </x:c>
      <x:c r="I5" s="146" t="n">
        <x:f>'Scenario_Control'!$B$9</x:f>
        <x:v>0</x:v>
      </x:c>
      <x:c r="J5" s="146" t="n">
        <x:f>'Scenario_Control'!$B$9</x:f>
        <x:v>0</x:v>
      </x:c>
      <x:c r="K5" s="146" t="n">
        <x:f>'Scenario_Control'!$B$9</x:f>
        <x:v>0</x:v>
      </x:c>
      <x:c r="L5" s="146" t="n">
        <x:f>'Scenario_Control'!$B$9</x:f>
        <x:v>0</x:v>
      </x:c>
      <x:c r="M5" s="146" t="n">
        <x:f>'Scenario_Control'!$B$9</x:f>
        <x:v>0</x:v>
      </x:c>
      <x:c r="N5" s="146" t="n">
        <x:f>'Scenario_Control'!$B$9</x:f>
        <x:v>0</x:v>
      </x:c>
      <x:c r="O5" s="146" t="n">
        <x:f>'Scenario_Control'!$B$9</x:f>
        <x:v>0</x:v>
      </x:c>
      <x:c r="P5" s="146" t="n">
        <x:f>'Scenario_Control'!$B$9</x:f>
        <x:v>0</x:v>
      </x:c>
      <x:c r="Q5" s="146" t="n">
        <x:f>'Scenario_Control'!$B$9</x:f>
        <x:v>0</x:v>
      </x:c>
      <x:c r="R5" s="146" t="n">
        <x:f>'Scenario_Control'!$B$9</x:f>
        <x:v>0</x:v>
      </x:c>
      <x:c r="S5" s="146" t="n">
        <x:f>'Scenario_Control'!$B$9</x:f>
        <x:v>0</x:v>
      </x:c>
      <x:c r="T5" s="146" t="n">
        <x:f>'Scenario_Control'!$B$9</x:f>
        <x:v>0</x:v>
      </x:c>
      <x:c r="U5" s="146" t="n">
        <x:f>'Scenario_Control'!$B$9</x:f>
        <x:v>0</x:v>
      </x:c>
      <x:c r="V5" s="146" t="n">
        <x:f>'Scenario_Control'!$B$9</x:f>
        <x:v>0</x:v>
      </x:c>
      <x:c r="W5" s="146" t="n">
        <x:f>'Scenario_Control'!$B$9</x:f>
        <x:v>0</x:v>
      </x:c>
      <x:c r="X5" s="146" t="n">
        <x:f>'Scenario_Control'!$B$9</x:f>
        <x:v>0</x:v>
      </x:c>
      <x:c r="Y5" s="146" t="n">
        <x:f>'Scenario_Control'!$B$9</x:f>
        <x:v>0</x:v>
      </x:c>
      <x:c r="Z5" s="146" t="n">
        <x:f>'Scenario_Control'!$B$9</x:f>
        <x:v>0</x:v>
      </x:c>
      <x:c r="AA5" s="146" t="n">
        <x:f>'Scenario_Control'!$B$9</x:f>
        <x:v>0</x:v>
      </x:c>
      <x:c r="AB5" s="146" t="n">
        <x:f>'Scenario_Control'!$B$9</x:f>
        <x:v>0</x:v>
      </x:c>
      <x:c r="AC5" s="146" t="n">
        <x:f>'Scenario_Control'!$B$9</x:f>
        <x:v>0</x:v>
      </x:c>
      <x:c r="AD5" s="146" t="n">
        <x:f>'Scenario_Control'!$B$9</x:f>
        <x:v>0</x:v>
      </x:c>
      <x:c r="AE5" s="146" t="n">
        <x:f>'Scenario_Control'!$B$9</x:f>
        <x:v>0</x:v>
      </x:c>
      <x:c r="AF5" s="146" t="n">
        <x:f>'Scenario_Control'!$B$9</x:f>
        <x:v>0</x:v>
      </x:c>
      <x:c r="AG5" s="146" t="n">
        <x:f>'Scenario_Control'!$B$9</x:f>
        <x:v>0</x:v>
      </x:c>
      <x:c r="AH5" s="146" t="n">
        <x:f>'Scenario_Control'!$B$9</x:f>
        <x:v>0</x:v>
      </x:c>
      <x:c r="AI5" s="146" t="n">
        <x:f>'Scenario_Control'!$B$9</x:f>
        <x:v>0</x:v>
      </x:c>
      <x:c r="AJ5" s="146" t="n">
        <x:f>'Scenario_Control'!$B$9</x:f>
        <x:v>0</x:v>
      </x:c>
      <x:c r="AK5" s="146" t="n">
        <x:f>'Scenario_Control'!$B$9</x:f>
        <x:v>0</x:v>
      </x:c>
      <x:c r="AL5" s="146" t="n">
        <x:f>'Scenario_Control'!$B$9</x:f>
        <x:v>0</x:v>
      </x:c>
      <x:c r="AM5" s="146" t="n">
        <x:f>'Scenario_Control'!$B$9</x:f>
        <x:v>0</x:v>
      </x:c>
      <x:c r="AN5" s="146"/>
    </x:row>
    <x:row r="6">
      <x:c r="A6" s="146" t="str">
        <x:v>NPL ratio</x:v>
      </x:c>
      <x:c r="B6" s="158" t="n">
        <x:v>0.065</x:v>
      </x:c>
      <x:c r="C6" s="146" t="str">
        <x:v>percent</x:v>
      </x:c>
      <x:c r="D6" s="146" t="str">
        <x:v>Early amortization</x:v>
      </x:c>
      <x:c r="E6" s="146" t="n">
        <x:f>'Collections_Losses'!E12</x:f>
        <x:v>0.132</x:v>
      </x:c>
      <x:c r="F6" s="146" t="n">
        <x:f>'Collections_Losses'!F12</x:f>
        <x:v>0</x:v>
      </x:c>
      <x:c r="G6" s="146" t="n">
        <x:f>'Collections_Losses'!G12</x:f>
        <x:v>0</x:v>
      </x:c>
      <x:c r="H6" s="146" t="n">
        <x:f>'Collections_Losses'!H12</x:f>
        <x:v>0.132</x:v>
      </x:c>
      <x:c r="I6" s="146" t="n">
        <x:f>'Collections_Losses'!I12</x:f>
        <x:v>0</x:v>
      </x:c>
      <x:c r="J6" s="146" t="n">
        <x:f>'Collections_Losses'!J12</x:f>
        <x:v>0</x:v>
      </x:c>
      <x:c r="K6" s="146" t="n">
        <x:f>'Collections_Losses'!K12</x:f>
        <x:v>0.132</x:v>
      </x:c>
      <x:c r="L6" s="146" t="n">
        <x:f>'Collections_Losses'!L12</x:f>
        <x:v>0</x:v>
      </x:c>
      <x:c r="M6" s="146" t="n">
        <x:f>'Collections_Losses'!M12</x:f>
        <x:v>0</x:v>
      </x:c>
      <x:c r="N6" s="146" t="n">
        <x:f>'Collections_Losses'!N12</x:f>
        <x:v>0.132</x:v>
      </x:c>
      <x:c r="O6" s="146" t="n">
        <x:f>'Collections_Losses'!O12</x:f>
        <x:v>0</x:v>
      </x:c>
      <x:c r="P6" s="146" t="n">
        <x:f>'Collections_Losses'!P12</x:f>
        <x:v>0</x:v>
      </x:c>
      <x:c r="Q6" s="146" t="n">
        <x:f>'Collections_Losses'!Q12</x:f>
        <x:v>0.132</x:v>
      </x:c>
      <x:c r="R6" s="146" t="n">
        <x:f>'Collections_Losses'!R12</x:f>
        <x:v>0</x:v>
      </x:c>
      <x:c r="S6" s="146" t="n">
        <x:f>'Collections_Losses'!S12</x:f>
        <x:v>0</x:v>
      </x:c>
      <x:c r="T6" s="146" t="n">
        <x:f>'Collections_Losses'!T12</x:f>
        <x:v>0.132</x:v>
      </x:c>
      <x:c r="U6" s="146" t="n">
        <x:f>'Collections_Losses'!U12</x:f>
        <x:v>0</x:v>
      </x:c>
      <x:c r="V6" s="146" t="n">
        <x:f>'Collections_Losses'!V12</x:f>
        <x:v>0</x:v>
      </x:c>
      <x:c r="W6" s="146" t="n">
        <x:f>'Collections_Losses'!W12</x:f>
        <x:v>0.132</x:v>
      </x:c>
      <x:c r="X6" s="146" t="n">
        <x:f>'Collections_Losses'!X12</x:f>
        <x:v>0</x:v>
      </x:c>
      <x:c r="Y6" s="146" t="n">
        <x:f>'Collections_Losses'!Y12</x:f>
        <x:v>0</x:v>
      </x:c>
      <x:c r="Z6" s="146" t="n">
        <x:f>'Collections_Losses'!Z12</x:f>
        <x:v>0.132</x:v>
      </x:c>
      <x:c r="AA6" s="146" t="n">
        <x:f>'Collections_Losses'!AA12</x:f>
        <x:v>0</x:v>
      </x:c>
      <x:c r="AB6" s="146" t="n">
        <x:f>'Collections_Losses'!AB12</x:f>
        <x:v>0</x:v>
      </x:c>
      <x:c r="AC6" s="146" t="n">
        <x:f>'Collections_Losses'!AC12</x:f>
        <x:v>0.132</x:v>
      </x:c>
      <x:c r="AD6" s="146" t="n">
        <x:f>'Collections_Losses'!AD12</x:f>
        <x:v>0</x:v>
      </x:c>
      <x:c r="AE6" s="146" t="n">
        <x:f>'Collections_Losses'!AE12</x:f>
        <x:v>0</x:v>
      </x:c>
      <x:c r="AF6" s="146" t="n">
        <x:f>'Collections_Losses'!AF12</x:f>
        <x:v>0.132</x:v>
      </x:c>
      <x:c r="AG6" s="146" t="n">
        <x:f>'Collections_Losses'!AG12</x:f>
        <x:v>0</x:v>
      </x:c>
      <x:c r="AH6" s="146" t="n">
        <x:f>'Collections_Losses'!AH12</x:f>
        <x:v>0</x:v>
      </x:c>
      <x:c r="AI6" s="146" t="n">
        <x:f>'Collections_Losses'!AI12</x:f>
        <x:v>0.132</x:v>
      </x:c>
      <x:c r="AJ6" s="146" t="n">
        <x:f>'Collections_Losses'!AJ12</x:f>
        <x:v>0</x:v>
      </x:c>
      <x:c r="AK6" s="146" t="n">
        <x:f>'Collections_Losses'!AK12</x:f>
        <x:v>0</x:v>
      </x:c>
      <x:c r="AL6" s="146" t="n">
        <x:f>'Collections_Losses'!AL12</x:f>
        <x:v>0.132</x:v>
      </x:c>
      <x:c r="AM6" s="146" t="n">
        <x:f>'Collections_Losses'!AM12</x:f>
        <x:v>0</x:v>
      </x:c>
      <x:c r="AN6" s="146"/>
    </x:row>
    <x:row r="7">
      <x:c r="A7" s="146" t="str">
        <x:v>Platform concentration</x:v>
      </x:c>
      <x:c r="B7" s="158" t="n">
        <x:v>0.25</x:v>
      </x:c>
      <x:c r="C7" s="146" t="str">
        <x:v>percent</x:v>
      </x:c>
      <x:c r="D7" s="146" t="str">
        <x:v>Restrict purchases</x:v>
      </x:c>
      <x:c r="E7" s="146" t="n">
        <x:f>0.22</x:f>
        <x:v>0.22</x:v>
      </x:c>
      <x:c r="F7" s="146" t="n">
        <x:f>0.22</x:f>
        <x:v>0.22</x:v>
      </x:c>
      <x:c r="G7" s="146" t="n">
        <x:f>0.22</x:f>
        <x:v>0.22</x:v>
      </x:c>
      <x:c r="H7" s="146" t="n">
        <x:f>0.22</x:f>
        <x:v>0.22</x:v>
      </x:c>
      <x:c r="I7" s="146" t="n">
        <x:f>0.22</x:f>
        <x:v>0.22</x:v>
      </x:c>
      <x:c r="J7" s="146" t="n">
        <x:f>0.22</x:f>
        <x:v>0.22</x:v>
      </x:c>
      <x:c r="K7" s="146" t="n">
        <x:f>0.22</x:f>
        <x:v>0.22</x:v>
      </x:c>
      <x:c r="L7" s="146" t="n">
        <x:f>0.22</x:f>
        <x:v>0.22</x:v>
      </x:c>
      <x:c r="M7" s="146" t="n">
        <x:f>0.22</x:f>
        <x:v>0.22</x:v>
      </x:c>
      <x:c r="N7" s="146" t="n">
        <x:f>0.22</x:f>
        <x:v>0.22</x:v>
      </x:c>
      <x:c r="O7" s="146" t="n">
        <x:f>0.22</x:f>
        <x:v>0.22</x:v>
      </x:c>
      <x:c r="P7" s="146" t="n">
        <x:f>0.22</x:f>
        <x:v>0.22</x:v>
      </x:c>
      <x:c r="Q7" s="146" t="n">
        <x:f>0.22</x:f>
        <x:v>0.22</x:v>
      </x:c>
      <x:c r="R7" s="146" t="n">
        <x:f>0.22</x:f>
        <x:v>0.22</x:v>
      </x:c>
      <x:c r="S7" s="146" t="n">
        <x:f>0.22</x:f>
        <x:v>0.22</x:v>
      </x:c>
      <x:c r="T7" s="146" t="n">
        <x:f>0.22</x:f>
        <x:v>0.22</x:v>
      </x:c>
      <x:c r="U7" s="146" t="n">
        <x:f>0.22</x:f>
        <x:v>0.22</x:v>
      </x:c>
      <x:c r="V7" s="146" t="n">
        <x:f>0.22</x:f>
        <x:v>0.22</x:v>
      </x:c>
      <x:c r="W7" s="146" t="n">
        <x:f>0.22</x:f>
        <x:v>0.22</x:v>
      </x:c>
      <x:c r="X7" s="146" t="n">
        <x:f>0.22</x:f>
        <x:v>0.22</x:v>
      </x:c>
      <x:c r="Y7" s="146" t="n">
        <x:f>0.22</x:f>
        <x:v>0.22</x:v>
      </x:c>
      <x:c r="Z7" s="146" t="n">
        <x:f>0.22</x:f>
        <x:v>0.22</x:v>
      </x:c>
      <x:c r="AA7" s="146" t="n">
        <x:f>0.22</x:f>
        <x:v>0.22</x:v>
      </x:c>
      <x:c r="AB7" s="146" t="n">
        <x:f>0.22</x:f>
        <x:v>0.22</x:v>
      </x:c>
      <x:c r="AC7" s="146" t="n">
        <x:f>0.22</x:f>
        <x:v>0.22</x:v>
      </x:c>
      <x:c r="AD7" s="146" t="n">
        <x:f>0.22</x:f>
        <x:v>0.22</x:v>
      </x:c>
      <x:c r="AE7" s="146" t="n">
        <x:f>0.22</x:f>
        <x:v>0.22</x:v>
      </x:c>
      <x:c r="AF7" s="146" t="n">
        <x:f>0.22</x:f>
        <x:v>0.22</x:v>
      </x:c>
      <x:c r="AG7" s="146" t="n">
        <x:f>0.22</x:f>
        <x:v>0.22</x:v>
      </x:c>
      <x:c r="AH7" s="146" t="n">
        <x:f>0.22</x:f>
        <x:v>0.22</x:v>
      </x:c>
      <x:c r="AI7" s="146" t="n">
        <x:f>0.22</x:f>
        <x:v>0.22</x:v>
      </x:c>
      <x:c r="AJ7" s="146" t="n">
        <x:f>0.22</x:f>
        <x:v>0.22</x:v>
      </x:c>
      <x:c r="AK7" s="146" t="n">
        <x:f>0.22</x:f>
        <x:v>0.22</x:v>
      </x:c>
      <x:c r="AL7" s="146" t="n">
        <x:f>0.22</x:f>
        <x:v>0.22</x:v>
      </x:c>
      <x:c r="AM7" s="146" t="n">
        <x:f>0.22</x:f>
        <x:v>0.22</x:v>
      </x:c>
      <x:c r="AN7" s="146"/>
    </x:row>
    <x:row r="8">
      <x:c r="A8" s="146" t="str">
        <x:v>Geographic concentration</x:v>
      </x:c>
      <x:c r="B8" s="158" t="n">
        <x:v>0.15</x:v>
      </x:c>
      <x:c r="C8" s="146" t="str">
        <x:v>percent</x:v>
      </x:c>
      <x:c r="D8" s="146" t="str">
        <x:v>Restrict purchases</x:v>
      </x:c>
      <x:c r="E8" s="146" t="n">
        <x:f>0.12</x:f>
        <x:v>0.12</x:v>
      </x:c>
      <x:c r="F8" s="146" t="n">
        <x:f>0.12</x:f>
        <x:v>0.12</x:v>
      </x:c>
      <x:c r="G8" s="146" t="n">
        <x:f>0.12</x:f>
        <x:v>0.12</x:v>
      </x:c>
      <x:c r="H8" s="146" t="n">
        <x:f>0.12</x:f>
        <x:v>0.12</x:v>
      </x:c>
      <x:c r="I8" s="146" t="n">
        <x:f>0.12</x:f>
        <x:v>0.12</x:v>
      </x:c>
      <x:c r="J8" s="146" t="n">
        <x:f>0.12</x:f>
        <x:v>0.12</x:v>
      </x:c>
      <x:c r="K8" s="146" t="n">
        <x:f>0.12</x:f>
        <x:v>0.12</x:v>
      </x:c>
      <x:c r="L8" s="146" t="n">
        <x:f>0.12</x:f>
        <x:v>0.12</x:v>
      </x:c>
      <x:c r="M8" s="146" t="n">
        <x:f>0.12</x:f>
        <x:v>0.12</x:v>
      </x:c>
      <x:c r="N8" s="146" t="n">
        <x:f>0.12</x:f>
        <x:v>0.12</x:v>
      </x:c>
      <x:c r="O8" s="146" t="n">
        <x:f>0.12</x:f>
        <x:v>0.12</x:v>
      </x:c>
      <x:c r="P8" s="146" t="n">
        <x:f>0.12</x:f>
        <x:v>0.12</x:v>
      </x:c>
      <x:c r="Q8" s="146" t="n">
        <x:f>0.12</x:f>
        <x:v>0.12</x:v>
      </x:c>
      <x:c r="R8" s="146" t="n">
        <x:f>0.12</x:f>
        <x:v>0.12</x:v>
      </x:c>
      <x:c r="S8" s="146" t="n">
        <x:f>0.12</x:f>
        <x:v>0.12</x:v>
      </x:c>
      <x:c r="T8" s="146" t="n">
        <x:f>0.12</x:f>
        <x:v>0.12</x:v>
      </x:c>
      <x:c r="U8" s="146" t="n">
        <x:f>0.12</x:f>
        <x:v>0.12</x:v>
      </x:c>
      <x:c r="V8" s="146" t="n">
        <x:f>0.12</x:f>
        <x:v>0.12</x:v>
      </x:c>
      <x:c r="W8" s="146" t="n">
        <x:f>0.12</x:f>
        <x:v>0.12</x:v>
      </x:c>
      <x:c r="X8" s="146" t="n">
        <x:f>0.12</x:f>
        <x:v>0.12</x:v>
      </x:c>
      <x:c r="Y8" s="146" t="n">
        <x:f>0.12</x:f>
        <x:v>0.12</x:v>
      </x:c>
      <x:c r="Z8" s="146" t="n">
        <x:f>0.12</x:f>
        <x:v>0.12</x:v>
      </x:c>
      <x:c r="AA8" s="146" t="n">
        <x:f>0.12</x:f>
        <x:v>0.12</x:v>
      </x:c>
      <x:c r="AB8" s="146" t="n">
        <x:f>0.12</x:f>
        <x:v>0.12</x:v>
      </x:c>
      <x:c r="AC8" s="146" t="n">
        <x:f>0.12</x:f>
        <x:v>0.12</x:v>
      </x:c>
      <x:c r="AD8" s="146" t="n">
        <x:f>0.12</x:f>
        <x:v>0.12</x:v>
      </x:c>
      <x:c r="AE8" s="146" t="n">
        <x:f>0.12</x:f>
        <x:v>0.12</x:v>
      </x:c>
      <x:c r="AF8" s="146" t="n">
        <x:f>0.12</x:f>
        <x:v>0.12</x:v>
      </x:c>
      <x:c r="AG8" s="146" t="n">
        <x:f>0.12</x:f>
        <x:v>0.12</x:v>
      </x:c>
      <x:c r="AH8" s="146" t="n">
        <x:f>0.12</x:f>
        <x:v>0.12</x:v>
      </x:c>
      <x:c r="AI8" s="146" t="n">
        <x:f>0.12</x:f>
        <x:v>0.12</x:v>
      </x:c>
      <x:c r="AJ8" s="146" t="n">
        <x:f>0.12</x:f>
        <x:v>0.12</x:v>
      </x:c>
      <x:c r="AK8" s="146" t="n">
        <x:f>0.12</x:f>
        <x:v>0.12</x:v>
      </x:c>
      <x:c r="AL8" s="146" t="n">
        <x:f>0.12</x:f>
        <x:v>0.12</x:v>
      </x:c>
      <x:c r="AM8" s="146" t="n">
        <x:f>0.12</x:f>
        <x:v>0.12</x:v>
      </x:c>
      <x:c r="AN8" s="146"/>
    </x:row>
    <x:row r="9">
      <x:c r="A9" s="146" t="str">
        <x:v>OC ratio</x:v>
      </x:c>
      <x:c r="B9" s="158" t="n">
        <x:v>1.25</x:v>
      </x:c>
      <x:c r="C9" s="146" t="str">
        <x:v>x</x:v>
      </x:c>
      <x:c r="D9" s="146" t="str">
        <x:v>Reserve cure</x:v>
      </x:c>
      <x:c r="E9" s="146" t="n">
        <x:f>'Reserves_OC'!B7</x:f>
        <x:v>1.4814814814814814</x:v>
      </x:c>
      <x:c r="F9" s="146" t="str">
        <x:f>'Reserves_OC'!C7</x:f>
        <x:v>x</x:v>
      </x:c>
      <x:c r="G9" s="146" t="str">
        <x:f>'Reserves_OC'!D7</x:f>
        <x:v>Eligible receivables / secured debt</x:v>
      </x:c>
      <x:c r="H9" s="146" t="n">
        <x:f>'Reserves_OC'!E7</x:f>
        <x:v>0</x:v>
      </x:c>
      <x:c r="I9" s="146" t="n">
        <x:f>'Reserves_OC'!F7</x:f>
        <x:v>0</x:v>
      </x:c>
      <x:c r="J9" s="146" t="n">
        <x:f>'Reserves_OC'!G7</x:f>
        <x:v>0</x:v>
      </x:c>
      <x:c r="K9" s="146" t="n">
        <x:f>'Reserves_OC'!H7</x:f>
        <x:v>0</x:v>
      </x:c>
      <x:c r="L9" s="146" t="n">
        <x:f>'Reserves_OC'!I7</x:f>
        <x:v>0</x:v>
      </x:c>
      <x:c r="M9" s="146" t="n">
        <x:f>'Reserves_OC'!J7</x:f>
        <x:v>0</x:v>
      </x:c>
      <x:c r="N9" s="146" t="n">
        <x:f>'Reserves_OC'!K7</x:f>
        <x:v>0</x:v>
      </x:c>
      <x:c r="O9" s="146" t="n">
        <x:f>'Reserves_OC'!L7</x:f>
        <x:v>0</x:v>
      </x:c>
      <x:c r="P9" s="146" t="n">
        <x:f>'Reserves_OC'!M7</x:f>
        <x:v>0</x:v>
      </x:c>
      <x:c r="Q9" s="146" t="n">
        <x:f>'Reserves_OC'!N7</x:f>
        <x:v>0</x:v>
      </x:c>
      <x:c r="R9" s="146" t="n">
        <x:f>'Reserves_OC'!O7</x:f>
        <x:v>0</x:v>
      </x:c>
      <x:c r="S9" s="146" t="n">
        <x:f>'Reserves_OC'!P7</x:f>
        <x:v>0</x:v>
      </x:c>
      <x:c r="T9" s="146" t="n">
        <x:f>'Reserves_OC'!Q7</x:f>
        <x:v>0</x:v>
      </x:c>
      <x:c r="U9" s="146" t="n">
        <x:f>'Reserves_OC'!R7</x:f>
        <x:v>0</x:v>
      </x:c>
      <x:c r="V9" s="146" t="n">
        <x:f>'Reserves_OC'!S7</x:f>
        <x:v>0</x:v>
      </x:c>
      <x:c r="W9" s="146" t="n">
        <x:f>'Reserves_OC'!T7</x:f>
        <x:v>0</x:v>
      </x:c>
      <x:c r="X9" s="146" t="n">
        <x:f>'Reserves_OC'!U7</x:f>
        <x:v>0</x:v>
      </x:c>
      <x:c r="Y9" s="146" t="n">
        <x:f>'Reserves_OC'!V7</x:f>
        <x:v>0</x:v>
      </x:c>
      <x:c r="Z9" s="146" t="n">
        <x:f>'Reserves_OC'!W7</x:f>
        <x:v>0</x:v>
      </x:c>
      <x:c r="AA9" s="146" t="n">
        <x:f>'Reserves_OC'!X7</x:f>
        <x:v>0</x:v>
      </x:c>
      <x:c r="AB9" s="146" t="n">
        <x:f>'Reserves_OC'!Y7</x:f>
        <x:v>0</x:v>
      </x:c>
      <x:c r="AC9" s="146" t="n">
        <x:f>'Reserves_OC'!Z7</x:f>
        <x:v>0</x:v>
      </x:c>
      <x:c r="AD9" s="146" t="n">
        <x:f>'Reserves_OC'!AA7</x:f>
        <x:v>0</x:v>
      </x:c>
      <x:c r="AE9" s="146" t="n">
        <x:f>'Reserves_OC'!AB7</x:f>
        <x:v>0</x:v>
      </x:c>
      <x:c r="AF9" s="146" t="n">
        <x:f>'Reserves_OC'!AC7</x:f>
        <x:v>0</x:v>
      </x:c>
      <x:c r="AG9" s="146" t="n">
        <x:f>'Reserves_OC'!AD7</x:f>
        <x:v>0</x:v>
      </x:c>
      <x:c r="AH9" s="146" t="n">
        <x:f>'Reserves_OC'!AE7</x:f>
        <x:v>0</x:v>
      </x:c>
      <x:c r="AI9" s="146" t="n">
        <x:f>'Reserves_OC'!AF7</x:f>
        <x:v>0</x:v>
      </x:c>
      <x:c r="AJ9" s="146" t="n">
        <x:f>'Reserves_OC'!AG7</x:f>
        <x:v>0</x:v>
      </x:c>
      <x:c r="AK9" s="146" t="n">
        <x:f>'Reserves_OC'!AH7</x:f>
        <x:v>0</x:v>
      </x:c>
      <x:c r="AL9" s="146" t="n">
        <x:f>'Reserves_OC'!AI7</x:f>
        <x:v>0</x:v>
      </x:c>
      <x:c r="AM9" s="146" t="n">
        <x:f>'Reserves_OC'!AJ7</x:f>
        <x:v>0</x:v>
      </x:c>
      <x:c r="AN9" s="146"/>
    </x:row>
    <x:row r="10">
      <x:c r="A10" s="146" t="str">
        <x:v>CRA months</x:v>
      </x:c>
      <x:c r="B10" s="158" t="n">
        <x:v>3</x:v>
      </x:c>
      <x:c r="C10" s="146" t="str">
        <x:v>months</x:v>
      </x:c>
      <x:c r="D10" s="146" t="str">
        <x:v>Reserve cure</x:v>
      </x:c>
      <x:c r="E10" s="146" t="n">
        <x:f>'Assumptions'!B11</x:f>
        <x:v>3</x:v>
      </x:c>
      <x:c r="F10" s="146" t="str">
        <x:f>'Assumptions'!C11</x:f>
        <x:v>months</x:v>
      </x:c>
      <x:c r="G10" s="146" t="str">
        <x:f>'Assumptions'!D11</x:f>
        <x:v>-</x:v>
      </x:c>
      <x:c r="H10" s="146" t="str">
        <x:f>'Assumptions'!E11</x:f>
        <x:v>Illustrative</x:v>
      </x:c>
      <x:c r="I10" s="146" t="str">
        <x:f>'Assumptions'!F11</x:f>
        <x:v>Implementation plan</x:v>
      </x:c>
      <x:c r="J10" s="146" t="str">
        <x:f>'Assumptions'!G11</x:f>
        <x:v>Treasury</x:v>
      </x:c>
      <x:c r="K10" s="146" t="str">
        <x:f>'Assumptions'!H11</x:f>
        <x:v>Replace with final reserve policy</x:v>
      </x:c>
      <x:c r="L10" s="146" t="n">
        <x:f>'Assumptions'!I11</x:f>
        <x:v>0</x:v>
      </x:c>
      <x:c r="M10" s="146" t="n">
        <x:f>'Assumptions'!J11</x:f>
        <x:v>0</x:v>
      </x:c>
      <x:c r="N10" s="146" t="n">
        <x:f>'Assumptions'!K11</x:f>
        <x:v>0</x:v>
      </x:c>
      <x:c r="O10" s="146" t="n">
        <x:f>'Assumptions'!L11</x:f>
        <x:v>0</x:v>
      </x:c>
      <x:c r="P10" s="146" t="n">
        <x:f>'Assumptions'!M11</x:f>
        <x:v>0</x:v>
      </x:c>
      <x:c r="Q10" s="146" t="n">
        <x:f>'Assumptions'!N11</x:f>
        <x:v>0</x:v>
      </x:c>
      <x:c r="R10" s="146" t="n">
        <x:f>'Assumptions'!O11</x:f>
        <x:v>0</x:v>
      </x:c>
      <x:c r="S10" s="146" t="n">
        <x:f>'Assumptions'!P11</x:f>
        <x:v>0</x:v>
      </x:c>
      <x:c r="T10" s="146" t="n">
        <x:f>'Assumptions'!Q11</x:f>
        <x:v>0</x:v>
      </x:c>
      <x:c r="U10" s="146" t="n">
        <x:f>'Assumptions'!R11</x:f>
        <x:v>0</x:v>
      </x:c>
      <x:c r="V10" s="146" t="n">
        <x:f>'Assumptions'!S11</x:f>
        <x:v>0</x:v>
      </x:c>
      <x:c r="W10" s="146" t="n">
        <x:f>'Assumptions'!T11</x:f>
        <x:v>0</x:v>
      </x:c>
      <x:c r="X10" s="146" t="n">
        <x:f>'Assumptions'!U11</x:f>
        <x:v>0</x:v>
      </x:c>
      <x:c r="Y10" s="146" t="n">
        <x:f>'Assumptions'!V11</x:f>
        <x:v>0</x:v>
      </x:c>
      <x:c r="Z10" s="146" t="n">
        <x:f>'Assumptions'!W11</x:f>
        <x:v>0</x:v>
      </x:c>
      <x:c r="AA10" s="146" t="n">
        <x:f>'Assumptions'!X11</x:f>
        <x:v>0</x:v>
      </x:c>
      <x:c r="AB10" s="146" t="n">
        <x:f>'Assumptions'!Y11</x:f>
        <x:v>0</x:v>
      </x:c>
      <x:c r="AC10" s="146" t="n">
        <x:f>'Assumptions'!Z11</x:f>
        <x:v>0</x:v>
      </x:c>
      <x:c r="AD10" s="146" t="n">
        <x:f>'Assumptions'!AA11</x:f>
        <x:v>0</x:v>
      </x:c>
      <x:c r="AE10" s="146" t="n">
        <x:f>'Assumptions'!AB11</x:f>
        <x:v>0</x:v>
      </x:c>
      <x:c r="AF10" s="146" t="n">
        <x:f>'Assumptions'!AC11</x:f>
        <x:v>0</x:v>
      </x:c>
      <x:c r="AG10" s="146" t="n">
        <x:f>'Assumptions'!AD11</x:f>
        <x:v>0</x:v>
      </x:c>
      <x:c r="AH10" s="146" t="n">
        <x:f>'Assumptions'!AE11</x:f>
        <x:v>0</x:v>
      </x:c>
      <x:c r="AI10" s="146" t="n">
        <x:f>'Assumptions'!AF11</x:f>
        <x:v>0</x:v>
      </x:c>
      <x:c r="AJ10" s="146" t="n">
        <x:f>'Assumptions'!AG11</x:f>
        <x:v>0</x:v>
      </x:c>
      <x:c r="AK10" s="146" t="n">
        <x:f>'Assumptions'!AH11</x:f>
        <x:v>0</x:v>
      </x:c>
      <x:c r="AL10" s="146" t="n">
        <x:f>'Assumptions'!AI11</x:f>
        <x:v>0</x:v>
      </x:c>
      <x:c r="AM10" s="146" t="n">
        <x:f>'Assumptions'!AJ11</x:f>
        <x:v>0</x:v>
      </x:c>
      <x:c r="AN10" s="146"/>
    </x:row>
    <x:row r="11">
      <x:c r="A11" s="146" t="str">
        <x:v>Class A interest</x:v>
      </x:c>
      <x:c r="B11" s="158" t="n">
        <x:v>0</x:v>
      </x:c>
      <x:c r="C11" s="146" t="str">
        <x:v>USD</x:v>
      </x:c>
      <x:c r="D11" s="146" t="str">
        <x:v>No equity distribution</x:v>
      </x:c>
      <x:c r="E11" s="146" t="n">
        <x:f>'Debt_Schedules'!E6</x:f>
        <x:v>70312.5</x:v>
      </x:c>
      <x:c r="F11" s="146" t="n">
        <x:f>'Debt_Schedules'!F6</x:f>
        <x:v>70312.5</x:v>
      </x:c>
      <x:c r="G11" s="146" t="n">
        <x:f>'Debt_Schedules'!G6</x:f>
        <x:v>70312.5</x:v>
      </x:c>
      <x:c r="H11" s="146" t="n">
        <x:f>'Debt_Schedules'!H6</x:f>
        <x:v>70312.5</x:v>
      </x:c>
      <x:c r="I11" s="146" t="n">
        <x:f>'Debt_Schedules'!I6</x:f>
        <x:v>70312.5</x:v>
      </x:c>
      <x:c r="J11" s="146" t="n">
        <x:f>'Debt_Schedules'!J6</x:f>
        <x:v>70312.5</x:v>
      </x:c>
      <x:c r="K11" s="146" t="n">
        <x:f>'Debt_Schedules'!K6</x:f>
        <x:v>70312.5</x:v>
      </x:c>
      <x:c r="L11" s="146" t="n">
        <x:f>'Debt_Schedules'!L6</x:f>
        <x:v>70312.5</x:v>
      </x:c>
      <x:c r="M11" s="146" t="n">
        <x:f>'Debt_Schedules'!M6</x:f>
        <x:v>70312.5</x:v>
      </x:c>
      <x:c r="N11" s="146" t="n">
        <x:f>'Debt_Schedules'!N6</x:f>
        <x:v>70312.5</x:v>
      </x:c>
      <x:c r="O11" s="146" t="n">
        <x:f>'Debt_Schedules'!O6</x:f>
        <x:v>70312.5</x:v>
      </x:c>
      <x:c r="P11" s="146" t="n">
        <x:f>'Debt_Schedules'!P6</x:f>
        <x:v>70312.5</x:v>
      </x:c>
      <x:c r="Q11" s="146" t="n">
        <x:f>'Debt_Schedules'!Q6</x:f>
        <x:v>70312.5</x:v>
      </x:c>
      <x:c r="R11" s="146" t="n">
        <x:f>'Debt_Schedules'!R6</x:f>
        <x:v>70312.5</x:v>
      </x:c>
      <x:c r="S11" s="146" t="n">
        <x:f>'Debt_Schedules'!S6</x:f>
        <x:v>70312.5</x:v>
      </x:c>
      <x:c r="T11" s="146" t="n">
        <x:f>'Debt_Schedules'!T6</x:f>
        <x:v>70312.5</x:v>
      </x:c>
      <x:c r="U11" s="146" t="n">
        <x:f>'Debt_Schedules'!U6</x:f>
        <x:v>70312.5</x:v>
      </x:c>
      <x:c r="V11" s="146" t="n">
        <x:f>'Debt_Schedules'!V6</x:f>
        <x:v>70312.5</x:v>
      </x:c>
      <x:c r="W11" s="146" t="n">
        <x:f>'Debt_Schedules'!W6</x:f>
        <x:v>70312.5</x:v>
      </x:c>
      <x:c r="X11" s="146" t="n">
        <x:f>'Debt_Schedules'!X6</x:f>
        <x:v>70312.5</x:v>
      </x:c>
      <x:c r="Y11" s="146" t="n">
        <x:f>'Debt_Schedules'!Y6</x:f>
        <x:v>70312.5</x:v>
      </x:c>
      <x:c r="Z11" s="146" t="n">
        <x:f>'Debt_Schedules'!Z6</x:f>
        <x:v>70312.5</x:v>
      </x:c>
      <x:c r="AA11" s="146" t="n">
        <x:f>'Debt_Schedules'!AA6</x:f>
        <x:v>70312.5</x:v>
      </x:c>
      <x:c r="AB11" s="146" t="n">
        <x:f>'Debt_Schedules'!AB6</x:f>
        <x:v>70312.5</x:v>
      </x:c>
      <x:c r="AC11" s="146" t="n">
        <x:f>'Debt_Schedules'!AC6</x:f>
        <x:v>70312.5</x:v>
      </x:c>
      <x:c r="AD11" s="146" t="n">
        <x:f>'Debt_Schedules'!AD6</x:f>
        <x:v>70312.5</x:v>
      </x:c>
      <x:c r="AE11" s="146" t="n">
        <x:f>'Debt_Schedules'!AE6</x:f>
        <x:v>70312.5</x:v>
      </x:c>
      <x:c r="AF11" s="146" t="n">
        <x:f>'Debt_Schedules'!AF6</x:f>
        <x:v>70312.5</x:v>
      </x:c>
      <x:c r="AG11" s="146" t="n">
        <x:f>'Debt_Schedules'!AG6</x:f>
        <x:v>70312.5</x:v>
      </x:c>
      <x:c r="AH11" s="146" t="n">
        <x:f>'Debt_Schedules'!AH6</x:f>
        <x:v>70312.5</x:v>
      </x:c>
      <x:c r="AI11" s="146" t="n">
        <x:f>'Debt_Schedules'!AI6</x:f>
        <x:v>70312.5</x:v>
      </x:c>
      <x:c r="AJ11" s="146" t="n">
        <x:f>'Debt_Schedules'!AJ6</x:f>
        <x:v>70312.5</x:v>
      </x:c>
      <x:c r="AK11" s="146" t="n">
        <x:f>'Debt_Schedules'!AK6</x:f>
        <x:v>70312.5</x:v>
      </x:c>
      <x:c r="AL11" s="146" t="n">
        <x:f>'Debt_Schedules'!AL6</x:f>
        <x:v>70312.5</x:v>
      </x:c>
      <x:c r="AM11" s="146" t="n">
        <x:f>'Debt_Schedules'!AM6</x:f>
        <x:v>70312.5</x:v>
      </x:c>
      <x:c r="AN11" s="146"/>
    </x:row>
    <x:row r="12">
      <x:c r="A12" s="146" t="str">
        <x:v>Class A principal</x:v>
      </x:c>
      <x:c r="B12" s="158" t="n">
        <x:v>0</x:v>
      </x:c>
      <x:c r="C12" s="146" t="str">
        <x:v>USD</x:v>
      </x:c>
      <x:c r="D12" s="146" t="str">
        <x:v>No equity distribution</x:v>
      </x:c>
      <x:c r="E12" s="146" t="n">
        <x:f>'Debt_Schedules'!E7</x:f>
        <x:v>6750000</x:v>
      </x:c>
      <x:c r="F12" s="146" t="n">
        <x:f>'Debt_Schedules'!F7</x:f>
        <x:v>6750000</x:v>
      </x:c>
      <x:c r="G12" s="146" t="n">
        <x:f>'Debt_Schedules'!G7</x:f>
        <x:v>6750000</x:v>
      </x:c>
      <x:c r="H12" s="146" t="n">
        <x:f>'Debt_Schedules'!H7</x:f>
        <x:v>6750000</x:v>
      </x:c>
      <x:c r="I12" s="146" t="n">
        <x:f>'Debt_Schedules'!I7</x:f>
        <x:v>6750000</x:v>
      </x:c>
      <x:c r="J12" s="146" t="n">
        <x:f>'Debt_Schedules'!J7</x:f>
        <x:v>6750000</x:v>
      </x:c>
      <x:c r="K12" s="146" t="n">
        <x:f>'Debt_Schedules'!K7</x:f>
        <x:v>6750000</x:v>
      </x:c>
      <x:c r="L12" s="146" t="n">
        <x:f>'Debt_Schedules'!L7</x:f>
        <x:v>6750000</x:v>
      </x:c>
      <x:c r="M12" s="146" t="n">
        <x:f>'Debt_Schedules'!M7</x:f>
        <x:v>6750000</x:v>
      </x:c>
      <x:c r="N12" s="146" t="n">
        <x:f>'Debt_Schedules'!N7</x:f>
        <x:v>6750000</x:v>
      </x:c>
      <x:c r="O12" s="146" t="n">
        <x:f>'Debt_Schedules'!O7</x:f>
        <x:v>6750000</x:v>
      </x:c>
      <x:c r="P12" s="146" t="n">
        <x:f>'Debt_Schedules'!P7</x:f>
        <x:v>6750000</x:v>
      </x:c>
      <x:c r="Q12" s="146" t="n">
        <x:f>'Debt_Schedules'!Q7</x:f>
        <x:v>6750000</x:v>
      </x:c>
      <x:c r="R12" s="146" t="n">
        <x:f>'Debt_Schedules'!R7</x:f>
        <x:v>6750000</x:v>
      </x:c>
      <x:c r="S12" s="146" t="n">
        <x:f>'Debt_Schedules'!S7</x:f>
        <x:v>6750000</x:v>
      </x:c>
      <x:c r="T12" s="146" t="n">
        <x:f>'Debt_Schedules'!T7</x:f>
        <x:v>6750000</x:v>
      </x:c>
      <x:c r="U12" s="146" t="n">
        <x:f>'Debt_Schedules'!U7</x:f>
        <x:v>6750000</x:v>
      </x:c>
      <x:c r="V12" s="146" t="n">
        <x:f>'Debt_Schedules'!V7</x:f>
        <x:v>6750000</x:v>
      </x:c>
      <x:c r="W12" s="146" t="n">
        <x:f>'Debt_Schedules'!W7</x:f>
        <x:v>6750000</x:v>
      </x:c>
      <x:c r="X12" s="146" t="n">
        <x:f>'Debt_Schedules'!X7</x:f>
        <x:v>6750000</x:v>
      </x:c>
      <x:c r="Y12" s="146" t="n">
        <x:f>'Debt_Schedules'!Y7</x:f>
        <x:v>6750000</x:v>
      </x:c>
      <x:c r="Z12" s="146" t="n">
        <x:f>'Debt_Schedules'!Z7</x:f>
        <x:v>6750000</x:v>
      </x:c>
      <x:c r="AA12" s="146" t="n">
        <x:f>'Debt_Schedules'!AA7</x:f>
        <x:v>6750000</x:v>
      </x:c>
      <x:c r="AB12" s="146" t="n">
        <x:f>'Debt_Schedules'!AB7</x:f>
        <x:v>6750000</x:v>
      </x:c>
      <x:c r="AC12" s="146" t="n">
        <x:f>'Debt_Schedules'!AC7</x:f>
        <x:v>6750000</x:v>
      </x:c>
      <x:c r="AD12" s="146" t="n">
        <x:f>'Debt_Schedules'!AD7</x:f>
        <x:v>6750000</x:v>
      </x:c>
      <x:c r="AE12" s="146" t="n">
        <x:f>'Debt_Schedules'!AE7</x:f>
        <x:v>6750000</x:v>
      </x:c>
      <x:c r="AF12" s="146" t="n">
        <x:f>'Debt_Schedules'!AF7</x:f>
        <x:v>6750000</x:v>
      </x:c>
      <x:c r="AG12" s="146" t="n">
        <x:f>'Debt_Schedules'!AG7</x:f>
        <x:v>6750000</x:v>
      </x:c>
      <x:c r="AH12" s="146" t="n">
        <x:f>'Debt_Schedules'!AH7</x:f>
        <x:v>6750000</x:v>
      </x:c>
      <x:c r="AI12" s="146" t="n">
        <x:f>'Debt_Schedules'!AI7</x:f>
        <x:v>6750000</x:v>
      </x:c>
      <x:c r="AJ12" s="146" t="n">
        <x:f>'Debt_Schedules'!AJ7</x:f>
        <x:v>6750000</x:v>
      </x:c>
      <x:c r="AK12" s="146" t="n">
        <x:f>'Debt_Schedules'!AK7</x:f>
        <x:v>6750000</x:v>
      </x:c>
      <x:c r="AL12" s="146" t="n">
        <x:f>'Debt_Schedules'!AL7</x:f>
        <x:v>6750000</x:v>
      </x:c>
      <x:c r="AM12" s="146" t="n">
        <x:f>'Debt_Schedules'!AM7</x:f>
        <x:v>6750000</x:v>
      </x:c>
      <x:c r="AN12" s="146"/>
    </x:row>
    <x:row r="13">
      <x:c r="A13" s="146" t="str">
        <x:v>Class B interest</x:v>
      </x:c>
      <x:c r="B13" s="158" t="n">
        <x:v>0</x:v>
      </x:c>
      <x:c r="C13" s="146" t="str">
        <x:v>USD</x:v>
      </x:c>
      <x:c r="D13" s="146" t="str">
        <x:v>No equity distribution</x:v>
      </x:c>
      <x:c r="E13" s="146" t="n">
        <x:f>'Debt_Schedules'!E10</x:f>
        <x:v>22500</x:v>
      </x:c>
      <x:c r="F13" s="146" t="n">
        <x:f>'Debt_Schedules'!F10</x:f>
        <x:v>22500</x:v>
      </x:c>
      <x:c r="G13" s="146" t="n">
        <x:f>'Debt_Schedules'!G10</x:f>
        <x:v>22500</x:v>
      </x:c>
      <x:c r="H13" s="146" t="n">
        <x:f>'Debt_Schedules'!H10</x:f>
        <x:v>22500</x:v>
      </x:c>
      <x:c r="I13" s="146" t="n">
        <x:f>'Debt_Schedules'!I10</x:f>
        <x:v>22500</x:v>
      </x:c>
      <x:c r="J13" s="146" t="n">
        <x:f>'Debt_Schedules'!J10</x:f>
        <x:v>22500</x:v>
      </x:c>
      <x:c r="K13" s="146" t="n">
        <x:f>'Debt_Schedules'!K10</x:f>
        <x:v>22500</x:v>
      </x:c>
      <x:c r="L13" s="146" t="n">
        <x:f>'Debt_Schedules'!L10</x:f>
        <x:v>22500</x:v>
      </x:c>
      <x:c r="M13" s="146" t="n">
        <x:f>'Debt_Schedules'!M10</x:f>
        <x:v>22500</x:v>
      </x:c>
      <x:c r="N13" s="146" t="n">
        <x:f>'Debt_Schedules'!N10</x:f>
        <x:v>22500</x:v>
      </x:c>
      <x:c r="O13" s="146" t="n">
        <x:f>'Debt_Schedules'!O10</x:f>
        <x:v>22500</x:v>
      </x:c>
      <x:c r="P13" s="146" t="n">
        <x:f>'Debt_Schedules'!P10</x:f>
        <x:v>22500</x:v>
      </x:c>
      <x:c r="Q13" s="146" t="n">
        <x:f>'Debt_Schedules'!Q10</x:f>
        <x:v>22500</x:v>
      </x:c>
      <x:c r="R13" s="146" t="n">
        <x:f>'Debt_Schedules'!R10</x:f>
        <x:v>22500</x:v>
      </x:c>
      <x:c r="S13" s="146" t="n">
        <x:f>'Debt_Schedules'!S10</x:f>
        <x:v>22500</x:v>
      </x:c>
      <x:c r="T13" s="146" t="n">
        <x:f>'Debt_Schedules'!T10</x:f>
        <x:v>22500</x:v>
      </x:c>
      <x:c r="U13" s="146" t="n">
        <x:f>'Debt_Schedules'!U10</x:f>
        <x:v>22500</x:v>
      </x:c>
      <x:c r="V13" s="146" t="n">
        <x:f>'Debt_Schedules'!V10</x:f>
        <x:v>22500</x:v>
      </x:c>
      <x:c r="W13" s="146" t="n">
        <x:f>'Debt_Schedules'!W10</x:f>
        <x:v>22500</x:v>
      </x:c>
      <x:c r="X13" s="146" t="n">
        <x:f>'Debt_Schedules'!X10</x:f>
        <x:v>22500</x:v>
      </x:c>
      <x:c r="Y13" s="146" t="n">
        <x:f>'Debt_Schedules'!Y10</x:f>
        <x:v>22500</x:v>
      </x:c>
      <x:c r="Z13" s="146" t="n">
        <x:f>'Debt_Schedules'!Z10</x:f>
        <x:v>22500</x:v>
      </x:c>
      <x:c r="AA13" s="146" t="n">
        <x:f>'Debt_Schedules'!AA10</x:f>
        <x:v>22500</x:v>
      </x:c>
      <x:c r="AB13" s="146" t="n">
        <x:f>'Debt_Schedules'!AB10</x:f>
        <x:v>22500</x:v>
      </x:c>
      <x:c r="AC13" s="146" t="n">
        <x:f>'Debt_Schedules'!AC10</x:f>
        <x:v>22500</x:v>
      </x:c>
      <x:c r="AD13" s="146" t="n">
        <x:f>'Debt_Schedules'!AD10</x:f>
        <x:v>22500</x:v>
      </x:c>
      <x:c r="AE13" s="146" t="n">
        <x:f>'Debt_Schedules'!AE10</x:f>
        <x:v>22500</x:v>
      </x:c>
      <x:c r="AF13" s="146" t="n">
        <x:f>'Debt_Schedules'!AF10</x:f>
        <x:v>22500</x:v>
      </x:c>
      <x:c r="AG13" s="146" t="n">
        <x:f>'Debt_Schedules'!AG10</x:f>
        <x:v>22500</x:v>
      </x:c>
      <x:c r="AH13" s="146" t="n">
        <x:f>'Debt_Schedules'!AH10</x:f>
        <x:v>22500</x:v>
      </x:c>
      <x:c r="AI13" s="146" t="n">
        <x:f>'Debt_Schedules'!AI10</x:f>
        <x:v>22500</x:v>
      </x:c>
      <x:c r="AJ13" s="146" t="n">
        <x:f>'Debt_Schedules'!AJ10</x:f>
        <x:v>22500</x:v>
      </x:c>
      <x:c r="AK13" s="146" t="n">
        <x:f>'Debt_Schedules'!AK10</x:f>
        <x:v>22500</x:v>
      </x:c>
      <x:c r="AL13" s="146" t="n">
        <x:f>'Debt_Schedules'!AL10</x:f>
        <x:v>22500</x:v>
      </x:c>
      <x:c r="AM13" s="146" t="n">
        <x:f>'Debt_Schedules'!AM10</x:f>
        <x:v>22500</x:v>
      </x:c>
      <x:c r="AN13" s="146"/>
    </x:row>
    <x:row r="14">
      <x:c r="A14" s="146" t="str">
        <x:v>Data quality</x:v>
      </x:c>
      <x:c r="B14" s="158" t="n">
        <x:v>0.95</x:v>
      </x:c>
      <x:c r="C14" s="146" t="str">
        <x:v>score</x:v>
      </x:c>
      <x:c r="D14" s="146" t="str">
        <x:v>Fallback model</x:v>
      </x:c>
      <x:c r="E14" s="146" t="n">
        <x:v>0.98</x:v>
      </x:c>
      <x:c r="F14" s="146" t="n">
        <x:v>0.98</x:v>
      </x:c>
      <x:c r="G14" s="146" t="n">
        <x:v>0.98</x:v>
      </x:c>
      <x:c r="H14" s="146" t="n">
        <x:v>0.98</x:v>
      </x:c>
      <x:c r="I14" s="146" t="n">
        <x:v>0.98</x:v>
      </x:c>
      <x:c r="J14" s="146" t="n">
        <x:v>0.98</x:v>
      </x:c>
      <x:c r="K14" s="146" t="n">
        <x:v>0.98</x:v>
      </x:c>
      <x:c r="L14" s="146" t="n">
        <x:v>0.98</x:v>
      </x:c>
      <x:c r="M14" s="146" t="n">
        <x:v>0.98</x:v>
      </x:c>
      <x:c r="N14" s="146" t="n">
        <x:v>0.98</x:v>
      </x:c>
      <x:c r="O14" s="146" t="n">
        <x:v>0.98</x:v>
      </x:c>
      <x:c r="P14" s="146" t="n">
        <x:v>0.98</x:v>
      </x:c>
      <x:c r="Q14" s="146" t="n">
        <x:v>0.98</x:v>
      </x:c>
      <x:c r="R14" s="146" t="n">
        <x:v>0.98</x:v>
      </x:c>
      <x:c r="S14" s="146" t="n">
        <x:v>0.98</x:v>
      </x:c>
      <x:c r="T14" s="146" t="n">
        <x:v>0.98</x:v>
      </x:c>
      <x:c r="U14" s="146" t="n">
        <x:v>0.98</x:v>
      </x:c>
      <x:c r="V14" s="146" t="n">
        <x:v>0.98</x:v>
      </x:c>
      <x:c r="W14" s="146" t="n">
        <x:v>0.98</x:v>
      </x:c>
      <x:c r="X14" s="146" t="n">
        <x:v>0.98</x:v>
      </x:c>
      <x:c r="Y14" s="146" t="n">
        <x:v>0.98</x:v>
      </x:c>
      <x:c r="Z14" s="146" t="n">
        <x:v>0.98</x:v>
      </x:c>
      <x:c r="AA14" s="146" t="n">
        <x:v>0.98</x:v>
      </x:c>
      <x:c r="AB14" s="146" t="n">
        <x:v>0.98</x:v>
      </x:c>
      <x:c r="AC14" s="146" t="n">
        <x:v>0.98</x:v>
      </x:c>
      <x:c r="AD14" s="146" t="n">
        <x:v>0.98</x:v>
      </x:c>
      <x:c r="AE14" s="146" t="n">
        <x:v>0.98</x:v>
      </x:c>
      <x:c r="AF14" s="146" t="n">
        <x:v>0.98</x:v>
      </x:c>
      <x:c r="AG14" s="146" t="n">
        <x:v>0.98</x:v>
      </x:c>
      <x:c r="AH14" s="146" t="n">
        <x:v>0.98</x:v>
      </x:c>
      <x:c r="AI14" s="146" t="n">
        <x:v>0.98</x:v>
      </x:c>
      <x:c r="AJ14" s="146" t="n">
        <x:v>0.98</x:v>
      </x:c>
      <x:c r="AK14" s="146" t="n">
        <x:v>0.98</x:v>
      </x:c>
      <x:c r="AL14" s="146" t="n">
        <x:v>0.98</x:v>
      </x:c>
      <x:c r="AM14" s="146" t="n">
        <x:v>0.98</x:v>
      </x:c>
      <x:c r="AN14" s="146" t="n">
        <x:v>0.98</x:v>
      </x:c>
    </x:row>
    <x:row r="15">
      <x:c r="A15" s="146" t="str">
        <x:v>CFA ownership</x:v>
      </x:c>
      <x:c r="B15" s="158" t="str">
        <x:v>Explicit Liquidity Features</x:v>
      </x:c>
      <x:c r="C15" s="146" t="str">
        <x:v>path</x:v>
      </x:c>
      <x:c r="D15" s="146" t="str">
        <x:v>Direct Bayesian spline</x:v>
      </x:c>
      <x:c r="E15" s="146" t="str">
        <x:f>"PASS"</x:f>
        <x:v>PASS</x:v>
      </x:c>
      <x:c r="F15" s="146" t="str">
        <x:f>"PASS"</x:f>
        <x:v>PASS</x:v>
      </x:c>
      <x:c r="G15" s="146" t="str">
        <x:f>"PASS"</x:f>
        <x:v>PASS</x:v>
      </x:c>
      <x:c r="H15" s="146" t="str">
        <x:f>"PASS"</x:f>
        <x:v>PASS</x:v>
      </x:c>
      <x:c r="I15" s="146" t="str">
        <x:f>"PASS"</x:f>
        <x:v>PASS</x:v>
      </x:c>
      <x:c r="J15" s="146" t="str">
        <x:f>"PASS"</x:f>
        <x:v>PASS</x:v>
      </x:c>
      <x:c r="K15" s="146" t="str">
        <x:f>"PASS"</x:f>
        <x:v>PASS</x:v>
      </x:c>
      <x:c r="L15" s="146" t="str">
        <x:f>"PASS"</x:f>
        <x:v>PASS</x:v>
      </x:c>
      <x:c r="M15" s="146" t="str">
        <x:f>"PASS"</x:f>
        <x:v>PASS</x:v>
      </x:c>
      <x:c r="N15" s="146" t="str">
        <x:f>"PASS"</x:f>
        <x:v>PASS</x:v>
      </x:c>
      <x:c r="O15" s="146" t="str">
        <x:f>"PASS"</x:f>
        <x:v>PASS</x:v>
      </x:c>
      <x:c r="P15" s="146" t="str">
        <x:f>"PASS"</x:f>
        <x:v>PASS</x:v>
      </x:c>
      <x:c r="Q15" s="146" t="str">
        <x:f>"PASS"</x:f>
        <x:v>PASS</x:v>
      </x:c>
      <x:c r="R15" s="146" t="str">
        <x:f>"PASS"</x:f>
        <x:v>PASS</x:v>
      </x:c>
      <x:c r="S15" s="146" t="str">
        <x:f>"PASS"</x:f>
        <x:v>PASS</x:v>
      </x:c>
      <x:c r="T15" s="146" t="str">
        <x:f>"PASS"</x:f>
        <x:v>PASS</x:v>
      </x:c>
      <x:c r="U15" s="146" t="str">
        <x:f>"PASS"</x:f>
        <x:v>PASS</x:v>
      </x:c>
      <x:c r="V15" s="146" t="str">
        <x:f>"PASS"</x:f>
        <x:v>PASS</x:v>
      </x:c>
      <x:c r="W15" s="146" t="str">
        <x:f>"PASS"</x:f>
        <x:v>PASS</x:v>
      </x:c>
      <x:c r="X15" s="146" t="str">
        <x:f>"PASS"</x:f>
        <x:v>PASS</x:v>
      </x:c>
      <x:c r="Y15" s="146" t="str">
        <x:f>"PASS"</x:f>
        <x:v>PASS</x:v>
      </x:c>
      <x:c r="Z15" s="146" t="str">
        <x:f>"PASS"</x:f>
        <x:v>PASS</x:v>
      </x:c>
      <x:c r="AA15" s="146" t="str">
        <x:f>"PASS"</x:f>
        <x:v>PASS</x:v>
      </x:c>
      <x:c r="AB15" s="146" t="str">
        <x:f>"PASS"</x:f>
        <x:v>PASS</x:v>
      </x:c>
      <x:c r="AC15" s="146" t="str">
        <x:f>"PASS"</x:f>
        <x:v>PASS</x:v>
      </x:c>
      <x:c r="AD15" s="146" t="str">
        <x:f>"PASS"</x:f>
        <x:v>PASS</x:v>
      </x:c>
      <x:c r="AE15" s="146" t="str">
        <x:f>"PASS"</x:f>
        <x:v>PASS</x:v>
      </x:c>
      <x:c r="AF15" s="146" t="str">
        <x:f>"PASS"</x:f>
        <x:v>PASS</x:v>
      </x:c>
      <x:c r="AG15" s="146" t="str">
        <x:f>"PASS"</x:f>
        <x:v>PASS</x:v>
      </x:c>
      <x:c r="AH15" s="146" t="str">
        <x:f>"PASS"</x:f>
        <x:v>PASS</x:v>
      </x:c>
      <x:c r="AI15" s="146" t="str">
        <x:f>"PASS"</x:f>
        <x:v>PASS</x:v>
      </x:c>
      <x:c r="AJ15" s="146" t="str">
        <x:f>"PASS"</x:f>
        <x:v>PASS</x:v>
      </x:c>
      <x:c r="AK15" s="146" t="str">
        <x:f>"PASS"</x:f>
        <x:v>PASS</x:v>
      </x:c>
      <x:c r="AL15" s="146" t="str">
        <x:f>"PASS"</x:f>
        <x:v>PASS</x:v>
      </x:c>
      <x:c r="AM15" s="146" t="str">
        <x:f>"PASS"</x:f>
        <x:v>PASS</x:v>
      </x:c>
      <x:c r="AN15" s="146" t="str">
        <x:f>"PASS"</x:f>
        <x:v>PASS</x:v>
      </x:c>
    </x:row>
    <x:row r="16">
      <x:c r="A16" s="146" t="str">
        <x:v>Earnings Velocity ownership</x:v>
      </x:c>
      <x:c r="B16" s="158" t="str">
        <x:v>Explicit Liquidity Features</x:v>
      </x:c>
      <x:c r="C16" s="146" t="str">
        <x:v>path</x:v>
      </x:c>
      <x:c r="D16" s="146" t="str">
        <x:v>Direct Bayesian spline</x:v>
      </x:c>
      <x:c r="E16" s="146" t="str">
        <x:f>"PASS"</x:f>
        <x:v>PASS</x:v>
      </x:c>
      <x:c r="F16" s="146" t="str">
        <x:f>"PASS"</x:f>
        <x:v>PASS</x:v>
      </x:c>
      <x:c r="G16" s="146" t="str">
        <x:f>"PASS"</x:f>
        <x:v>PASS</x:v>
      </x:c>
      <x:c r="H16" s="146" t="str">
        <x:f>"PASS"</x:f>
        <x:v>PASS</x:v>
      </x:c>
      <x:c r="I16" s="146" t="str">
        <x:f>"PASS"</x:f>
        <x:v>PASS</x:v>
      </x:c>
      <x:c r="J16" s="146" t="str">
        <x:f>"PASS"</x:f>
        <x:v>PASS</x:v>
      </x:c>
      <x:c r="K16" s="146" t="str">
        <x:f>"PASS"</x:f>
        <x:v>PASS</x:v>
      </x:c>
      <x:c r="L16" s="146" t="str">
        <x:f>"PASS"</x:f>
        <x:v>PASS</x:v>
      </x:c>
      <x:c r="M16" s="146" t="str">
        <x:f>"PASS"</x:f>
        <x:v>PASS</x:v>
      </x:c>
      <x:c r="N16" s="146" t="str">
        <x:f>"PASS"</x:f>
        <x:v>PASS</x:v>
      </x:c>
      <x:c r="O16" s="146" t="str">
        <x:f>"PASS"</x:f>
        <x:v>PASS</x:v>
      </x:c>
      <x:c r="P16" s="146" t="str">
        <x:f>"PASS"</x:f>
        <x:v>PASS</x:v>
      </x:c>
      <x:c r="Q16" s="146" t="str">
        <x:f>"PASS"</x:f>
        <x:v>PASS</x:v>
      </x:c>
      <x:c r="R16" s="146" t="str">
        <x:f>"PASS"</x:f>
        <x:v>PASS</x:v>
      </x:c>
      <x:c r="S16" s="146" t="str">
        <x:f>"PASS"</x:f>
        <x:v>PASS</x:v>
      </x:c>
      <x:c r="T16" s="146" t="str">
        <x:f>"PASS"</x:f>
        <x:v>PASS</x:v>
      </x:c>
      <x:c r="U16" s="146" t="str">
        <x:f>"PASS"</x:f>
        <x:v>PASS</x:v>
      </x:c>
      <x:c r="V16" s="146" t="str">
        <x:f>"PASS"</x:f>
        <x:v>PASS</x:v>
      </x:c>
      <x:c r="W16" s="146" t="str">
        <x:f>"PASS"</x:f>
        <x:v>PASS</x:v>
      </x:c>
      <x:c r="X16" s="146" t="str">
        <x:f>"PASS"</x:f>
        <x:v>PASS</x:v>
      </x:c>
      <x:c r="Y16" s="146" t="str">
        <x:f>"PASS"</x:f>
        <x:v>PASS</x:v>
      </x:c>
      <x:c r="Z16" s="146" t="str">
        <x:f>"PASS"</x:f>
        <x:v>PASS</x:v>
      </x:c>
      <x:c r="AA16" s="146" t="str">
        <x:f>"PASS"</x:f>
        <x:v>PASS</x:v>
      </x:c>
      <x:c r="AB16" s="146" t="str">
        <x:f>"PASS"</x:f>
        <x:v>PASS</x:v>
      </x:c>
      <x:c r="AC16" s="146" t="str">
        <x:f>"PASS"</x:f>
        <x:v>PASS</x:v>
      </x:c>
      <x:c r="AD16" s="146" t="str">
        <x:f>"PASS"</x:f>
        <x:v>PASS</x:v>
      </x:c>
      <x:c r="AE16" s="146" t="str">
        <x:f>"PASS"</x:f>
        <x:v>PASS</x:v>
      </x:c>
      <x:c r="AF16" s="146" t="str">
        <x:f>"PASS"</x:f>
        <x:v>PASS</x:v>
      </x:c>
      <x:c r="AG16" s="146" t="str">
        <x:f>"PASS"</x:f>
        <x:v>PASS</x:v>
      </x:c>
      <x:c r="AH16" s="146" t="str">
        <x:f>"PASS"</x:f>
        <x:v>PASS</x:v>
      </x:c>
      <x:c r="AI16" s="146" t="str">
        <x:f>"PASS"</x:f>
        <x:v>PASS</x:v>
      </x:c>
      <x:c r="AJ16" s="146" t="str">
        <x:f>"PASS"</x:f>
        <x:v>PASS</x:v>
      </x:c>
      <x:c r="AK16" s="146" t="str">
        <x:f>"PASS"</x:f>
        <x:v>PASS</x:v>
      </x:c>
      <x:c r="AL16" s="146" t="str">
        <x:f>"PASS"</x:f>
        <x:v>PASS</x:v>
      </x:c>
      <x:c r="AM16" s="146" t="str">
        <x:f>"PASS"</x:f>
        <x:v>PASS</x:v>
      </x:c>
      <x:c r="AN16" s="146" t="str">
        <x:f>"PASS"</x:f>
        <x:v>PASS</x:v>
      </x:c>
    </x:row>
    <x:row r="17">
      <x:c r="A17" s="146" t="str">
        <x:v>Policy layer</x:v>
      </x:c>
      <x:c r="B17" s="158" t="str">
        <x:v>Credit Policy and Compliance Gate</x:v>
      </x:c>
      <x:c r="C17" s="146" t="str">
        <x:v>layer</x:v>
      </x:c>
      <x:c r="D17" s="146" t="str">
        <x:v>Post-Bayesian rules</x:v>
      </x:c>
      <x:c r="E17" s="146" t="str">
        <x:f>"PASS"</x:f>
        <x:v>PASS</x:v>
      </x:c>
      <x:c r="F17" s="146" t="str">
        <x:f>"PASS"</x:f>
        <x:v>PASS</x:v>
      </x:c>
      <x:c r="G17" s="146" t="str">
        <x:f>"PASS"</x:f>
        <x:v>PASS</x:v>
      </x:c>
      <x:c r="H17" s="146" t="str">
        <x:f>"PASS"</x:f>
        <x:v>PASS</x:v>
      </x:c>
      <x:c r="I17" s="146" t="str">
        <x:f>"PASS"</x:f>
        <x:v>PASS</x:v>
      </x:c>
      <x:c r="J17" s="146" t="str">
        <x:f>"PASS"</x:f>
        <x:v>PASS</x:v>
      </x:c>
      <x:c r="K17" s="146" t="str">
        <x:f>"PASS"</x:f>
        <x:v>PASS</x:v>
      </x:c>
      <x:c r="L17" s="146" t="str">
        <x:f>"PASS"</x:f>
        <x:v>PASS</x:v>
      </x:c>
      <x:c r="M17" s="146" t="str">
        <x:f>"PASS"</x:f>
        <x:v>PASS</x:v>
      </x:c>
      <x:c r="N17" s="146" t="str">
        <x:f>"PASS"</x:f>
        <x:v>PASS</x:v>
      </x:c>
      <x:c r="O17" s="146" t="str">
        <x:f>"PASS"</x:f>
        <x:v>PASS</x:v>
      </x:c>
      <x:c r="P17" s="146" t="str">
        <x:f>"PASS"</x:f>
        <x:v>PASS</x:v>
      </x:c>
      <x:c r="Q17" s="146" t="str">
        <x:f>"PASS"</x:f>
        <x:v>PASS</x:v>
      </x:c>
      <x:c r="R17" s="146" t="str">
        <x:f>"PASS"</x:f>
        <x:v>PASS</x:v>
      </x:c>
      <x:c r="S17" s="146" t="str">
        <x:f>"PASS"</x:f>
        <x:v>PASS</x:v>
      </x:c>
      <x:c r="T17" s="146" t="str">
        <x:f>"PASS"</x:f>
        <x:v>PASS</x:v>
      </x:c>
      <x:c r="U17" s="146" t="str">
        <x:f>"PASS"</x:f>
        <x:v>PASS</x:v>
      </x:c>
      <x:c r="V17" s="146" t="str">
        <x:f>"PASS"</x:f>
        <x:v>PASS</x:v>
      </x:c>
      <x:c r="W17" s="146" t="str">
        <x:f>"PASS"</x:f>
        <x:v>PASS</x:v>
      </x:c>
      <x:c r="X17" s="146" t="str">
        <x:f>"PASS"</x:f>
        <x:v>PASS</x:v>
      </x:c>
      <x:c r="Y17" s="146" t="str">
        <x:f>"PASS"</x:f>
        <x:v>PASS</x:v>
      </x:c>
      <x:c r="Z17" s="146" t="str">
        <x:f>"PASS"</x:f>
        <x:v>PASS</x:v>
      </x:c>
      <x:c r="AA17" s="146" t="str">
        <x:f>"PASS"</x:f>
        <x:v>PASS</x:v>
      </x:c>
      <x:c r="AB17" s="146" t="str">
        <x:f>"PASS"</x:f>
        <x:v>PASS</x:v>
      </x:c>
      <x:c r="AC17" s="146" t="str">
        <x:f>"PASS"</x:f>
        <x:v>PASS</x:v>
      </x:c>
      <x:c r="AD17" s="146" t="str">
        <x:f>"PASS"</x:f>
        <x:v>PASS</x:v>
      </x:c>
      <x:c r="AE17" s="146" t="str">
        <x:f>"PASS"</x:f>
        <x:v>PASS</x:v>
      </x:c>
      <x:c r="AF17" s="146" t="str">
        <x:f>"PASS"</x:f>
        <x:v>PASS</x:v>
      </x:c>
      <x:c r="AG17" s="146" t="str">
        <x:f>"PASS"</x:f>
        <x:v>PASS</x:v>
      </x:c>
      <x:c r="AH17" s="146" t="str">
        <x:f>"PASS"</x:f>
        <x:v>PASS</x:v>
      </x:c>
      <x:c r="AI17" s="146" t="str">
        <x:f>"PASS"</x:f>
        <x:v>PASS</x:v>
      </x:c>
      <x:c r="AJ17" s="146" t="str">
        <x:f>"PASS"</x:f>
        <x:v>PASS</x:v>
      </x:c>
      <x:c r="AK17" s="146" t="str">
        <x:f>"PASS"</x:f>
        <x:v>PASS</x:v>
      </x:c>
      <x:c r="AL17" s="146" t="str">
        <x:f>"PASS"</x:f>
        <x:v>PASS</x:v>
      </x:c>
      <x:c r="AM17" s="146" t="str">
        <x:f>"PASS"</x:f>
        <x:v>PASS</x:v>
      </x:c>
      <x:c r="AN17" s="146" t="str">
        <x:f>"PASS"</x:f>
        <x:v>PASS</x:v>
      </x:c>
    </x:row>
    <x:row r="18">
      <x:c r="A18" s="146" t="str">
        <x:v>Terminology status</x:v>
      </x:c>
      <x:c r="B18" s="158" t="str">
        <x:v>PASS</x:v>
      </x:c>
      <x:c r="C18" s="146" t="str">
        <x:v>status</x:v>
      </x:c>
      <x:c r="D18" s="146" t="str">
        <x:v>Legacy label removed</x:v>
      </x:c>
      <x:c r="E18" s="146" t="str">
        <x:f>"PASS"</x:f>
        <x:v>PASS</x:v>
      </x:c>
      <x:c r="F18" s="146" t="str">
        <x:f>"PASS"</x:f>
        <x:v>PASS</x:v>
      </x:c>
      <x:c r="G18" s="146" t="str">
        <x:f>"PASS"</x:f>
        <x:v>PASS</x:v>
      </x:c>
      <x:c r="H18" s="146" t="str">
        <x:f>"PASS"</x:f>
        <x:v>PASS</x:v>
      </x:c>
      <x:c r="I18" s="146" t="str">
        <x:f>"PASS"</x:f>
        <x:v>PASS</x:v>
      </x:c>
      <x:c r="J18" s="146" t="str">
        <x:f>"PASS"</x:f>
        <x:v>PASS</x:v>
      </x:c>
      <x:c r="K18" s="146" t="str">
        <x:f>"PASS"</x:f>
        <x:v>PASS</x:v>
      </x:c>
      <x:c r="L18" s="146" t="str">
        <x:f>"PASS"</x:f>
        <x:v>PASS</x:v>
      </x:c>
      <x:c r="M18" s="146" t="str">
        <x:f>"PASS"</x:f>
        <x:v>PASS</x:v>
      </x:c>
      <x:c r="N18" s="146" t="str">
        <x:f>"PASS"</x:f>
        <x:v>PASS</x:v>
      </x:c>
      <x:c r="O18" s="146" t="str">
        <x:f>"PASS"</x:f>
        <x:v>PASS</x:v>
      </x:c>
      <x:c r="P18" s="146" t="str">
        <x:f>"PASS"</x:f>
        <x:v>PASS</x:v>
      </x:c>
      <x:c r="Q18" s="146" t="str">
        <x:f>"PASS"</x:f>
        <x:v>PASS</x:v>
      </x:c>
      <x:c r="R18" s="146" t="str">
        <x:f>"PASS"</x:f>
        <x:v>PASS</x:v>
      </x:c>
      <x:c r="S18" s="146" t="str">
        <x:f>"PASS"</x:f>
        <x:v>PASS</x:v>
      </x:c>
      <x:c r="T18" s="146" t="str">
        <x:f>"PASS"</x:f>
        <x:v>PASS</x:v>
      </x:c>
      <x:c r="U18" s="146" t="str">
        <x:f>"PASS"</x:f>
        <x:v>PASS</x:v>
      </x:c>
      <x:c r="V18" s="146" t="str">
        <x:f>"PASS"</x:f>
        <x:v>PASS</x:v>
      </x:c>
      <x:c r="W18" s="146" t="str">
        <x:f>"PASS"</x:f>
        <x:v>PASS</x:v>
      </x:c>
      <x:c r="X18" s="146" t="str">
        <x:f>"PASS"</x:f>
        <x:v>PASS</x:v>
      </x:c>
      <x:c r="Y18" s="146" t="str">
        <x:f>"PASS"</x:f>
        <x:v>PASS</x:v>
      </x:c>
      <x:c r="Z18" s="146" t="str">
        <x:f>"PASS"</x:f>
        <x:v>PASS</x:v>
      </x:c>
      <x:c r="AA18" s="146" t="str">
        <x:f>"PASS"</x:f>
        <x:v>PASS</x:v>
      </x:c>
      <x:c r="AB18" s="146" t="str">
        <x:f>"PASS"</x:f>
        <x:v>PASS</x:v>
      </x:c>
      <x:c r="AC18" s="146" t="str">
        <x:f>"PASS"</x:f>
        <x:v>PASS</x:v>
      </x:c>
      <x:c r="AD18" s="146" t="str">
        <x:f>"PASS"</x:f>
        <x:v>PASS</x:v>
      </x:c>
      <x:c r="AE18" s="146" t="str">
        <x:f>"PASS"</x:f>
        <x:v>PASS</x:v>
      </x:c>
      <x:c r="AF18" s="146" t="str">
        <x:f>"PASS"</x:f>
        <x:v>PASS</x:v>
      </x:c>
      <x:c r="AG18" s="146" t="str">
        <x:f>"PASS"</x:f>
        <x:v>PASS</x:v>
      </x:c>
      <x:c r="AH18" s="146" t="str">
        <x:f>"PASS"</x:f>
        <x:v>PASS</x:v>
      </x:c>
      <x:c r="AI18" s="146" t="str">
        <x:f>"PASS"</x:f>
        <x:v>PASS</x:v>
      </x:c>
      <x:c r="AJ18" s="146" t="str">
        <x:f>"PASS"</x:f>
        <x:v>PASS</x:v>
      </x:c>
      <x:c r="AK18" s="146" t="str">
        <x:f>"PASS"</x:f>
        <x:v>PASS</x:v>
      </x:c>
      <x:c r="AL18" s="146" t="str">
        <x:f>"PASS"</x:f>
        <x:v>PASS</x:v>
      </x:c>
      <x:c r="AM18" s="146" t="str">
        <x:f>"PASS"</x:f>
        <x:v>PASS</x:v>
      </x:c>
      <x:c r="AN18" s="146" t="str">
        <x:f>"PASS"</x:f>
        <x:v>PASS</x:v>
      </x:c>
    </x:row>
    <x:row r="19">
      <x:c r="A19" s="146" t="str">
        <x:v>Overall gate</x:v>
      </x:c>
      <x:c r="B19" s="158" t="str">
        <x:v>PASS</x:v>
      </x:c>
      <x:c r="C19" s="146" t="str">
        <x:v>status</x:v>
      </x:c>
      <x:c r="D19" s="146" t="str">
        <x:v>Highest-priority failure</x:v>
      </x:c>
      <x:c r="E19" s="146" t="str">
        <x:f>"PASS"</x:f>
        <x:v>PASS</x:v>
      </x:c>
      <x:c r="F19" s="146" t="str">
        <x:f>"PASS"</x:f>
        <x:v>PASS</x:v>
      </x:c>
      <x:c r="G19" s="146" t="str">
        <x:f>"PASS"</x:f>
        <x:v>PASS</x:v>
      </x:c>
      <x:c r="H19" s="146" t="str">
        <x:f>"PASS"</x:f>
        <x:v>PASS</x:v>
      </x:c>
      <x:c r="I19" s="146" t="str">
        <x:f>"PASS"</x:f>
        <x:v>PASS</x:v>
      </x:c>
      <x:c r="J19" s="146" t="str">
        <x:f>"PASS"</x:f>
        <x:v>PASS</x:v>
      </x:c>
      <x:c r="K19" s="146" t="str">
        <x:f>"PASS"</x:f>
        <x:v>PASS</x:v>
      </x:c>
      <x:c r="L19" s="146" t="str">
        <x:f>"PASS"</x:f>
        <x:v>PASS</x:v>
      </x:c>
      <x:c r="M19" s="146" t="str">
        <x:f>"PASS"</x:f>
        <x:v>PASS</x:v>
      </x:c>
      <x:c r="N19" s="146" t="str">
        <x:f>"PASS"</x:f>
        <x:v>PASS</x:v>
      </x:c>
      <x:c r="O19" s="146" t="str">
        <x:f>"PASS"</x:f>
        <x:v>PASS</x:v>
      </x:c>
      <x:c r="P19" s="146" t="str">
        <x:f>"PASS"</x:f>
        <x:v>PASS</x:v>
      </x:c>
      <x:c r="Q19" s="146" t="str">
        <x:f>"PASS"</x:f>
        <x:v>PASS</x:v>
      </x:c>
      <x:c r="R19" s="146" t="str">
        <x:f>"PASS"</x:f>
        <x:v>PASS</x:v>
      </x:c>
      <x:c r="S19" s="146" t="str">
        <x:f>"PASS"</x:f>
        <x:v>PASS</x:v>
      </x:c>
      <x:c r="T19" s="146" t="str">
        <x:f>"PASS"</x:f>
        <x:v>PASS</x:v>
      </x:c>
      <x:c r="U19" s="146" t="str">
        <x:f>"PASS"</x:f>
        <x:v>PASS</x:v>
      </x:c>
      <x:c r="V19" s="146" t="str">
        <x:f>"PASS"</x:f>
        <x:v>PASS</x:v>
      </x:c>
      <x:c r="W19" s="146" t="str">
        <x:f>"PASS"</x:f>
        <x:v>PASS</x:v>
      </x:c>
      <x:c r="X19" s="146" t="str">
        <x:f>"PASS"</x:f>
        <x:v>PASS</x:v>
      </x:c>
      <x:c r="Y19" s="146" t="str">
        <x:f>"PASS"</x:f>
        <x:v>PASS</x:v>
      </x:c>
      <x:c r="Z19" s="146" t="str">
        <x:f>"PASS"</x:f>
        <x:v>PASS</x:v>
      </x:c>
      <x:c r="AA19" s="146" t="str">
        <x:f>"PASS"</x:f>
        <x:v>PASS</x:v>
      </x:c>
      <x:c r="AB19" s="146" t="str">
        <x:f>"PASS"</x:f>
        <x:v>PASS</x:v>
      </x:c>
      <x:c r="AC19" s="146" t="str">
        <x:f>"PASS"</x:f>
        <x:v>PASS</x:v>
      </x:c>
      <x:c r="AD19" s="146" t="str">
        <x:f>"PASS"</x:f>
        <x:v>PASS</x:v>
      </x:c>
      <x:c r="AE19" s="146" t="str">
        <x:f>"PASS"</x:f>
        <x:v>PASS</x:v>
      </x:c>
      <x:c r="AF19" s="146" t="str">
        <x:f>"PASS"</x:f>
        <x:v>PASS</x:v>
      </x:c>
      <x:c r="AG19" s="146" t="str">
        <x:f>"PASS"</x:f>
        <x:v>PASS</x:v>
      </x:c>
      <x:c r="AH19" s="146" t="str">
        <x:f>"PASS"</x:f>
        <x:v>PASS</x:v>
      </x:c>
      <x:c r="AI19" s="146" t="str">
        <x:f>"PASS"</x:f>
        <x:v>PASS</x:v>
      </x:c>
      <x:c r="AJ19" s="146" t="str">
        <x:f>"PASS"</x:f>
        <x:v>PASS</x:v>
      </x:c>
      <x:c r="AK19" s="146" t="str">
        <x:f>"PASS"</x:f>
        <x:v>PASS</x:v>
      </x:c>
      <x:c r="AL19" s="146" t="str">
        <x:f>"PASS"</x:f>
        <x:v>PASS</x:v>
      </x:c>
      <x:c r="AM19" s="146" t="str">
        <x:f>"PASS"</x:f>
        <x:v>PASS</x:v>
      </x:c>
      <x:c r="AN19" s="146" t="str">
        <x:f>"PASS"</x:f>
        <x:v>PASS</x:v>
      </x:c>
    </x:row>
    <x:row r="20">
      <x:c r="A20" s="146" t="str">
        <x:v>Early amortization</x:v>
      </x:c>
      <x:c r="B20" s="158" t="str">
        <x:v>PASS</x:v>
      </x:c>
      <x:c r="C20" s="146" t="str">
        <x:v>status</x:v>
      </x:c>
      <x:c r="D20" s="146" t="str">
        <x:v>NPL threshold action</x:v>
      </x:c>
      <x:c r="E20" s="146" t="str">
        <x:f>IF(E6&gt;=B6,"EARLY AMORTIZATION","PASS")</x:f>
        <x:v>EARLY AMORTIZATION</x:v>
      </x:c>
      <x:c r="F20" s="146" t="str">
        <x:f>IF(E6&gt;=B6,"EARLY AMORTIZATION","PASS")</x:f>
        <x:v>EARLY AMORTIZATION</x:v>
      </x:c>
      <x:c r="G20" s="146" t="str">
        <x:f>IF(E6&gt;=B6,"EARLY AMORTIZATION","PASS")</x:f>
        <x:v>EARLY AMORTIZATION</x:v>
      </x:c>
      <x:c r="H20" s="146" t="str">
        <x:f>IF(E6&gt;=B6,"EARLY AMORTIZATION","PASS")</x:f>
        <x:v>EARLY AMORTIZATION</x:v>
      </x:c>
      <x:c r="I20" s="146" t="str">
        <x:f>IF(E6&gt;=B6,"EARLY AMORTIZATION","PASS")</x:f>
        <x:v>EARLY AMORTIZATION</x:v>
      </x:c>
      <x:c r="J20" s="146" t="str">
        <x:f>IF(E6&gt;=B6,"EARLY AMORTIZATION","PASS")</x:f>
        <x:v>EARLY AMORTIZATION</x:v>
      </x:c>
      <x:c r="K20" s="146" t="str">
        <x:f>IF(E6&gt;=B6,"EARLY AMORTIZATION","PASS")</x:f>
        <x:v>EARLY AMORTIZATION</x:v>
      </x:c>
      <x:c r="L20" s="146" t="str">
        <x:f>IF(E6&gt;=B6,"EARLY AMORTIZATION","PASS")</x:f>
        <x:v>EARLY AMORTIZATION</x:v>
      </x:c>
      <x:c r="M20" s="146" t="str">
        <x:f>IF(E6&gt;=B6,"EARLY AMORTIZATION","PASS")</x:f>
        <x:v>EARLY AMORTIZATION</x:v>
      </x:c>
      <x:c r="N20" s="146" t="str">
        <x:f>IF(E6&gt;=B6,"EARLY AMORTIZATION","PASS")</x:f>
        <x:v>EARLY AMORTIZATION</x:v>
      </x:c>
      <x:c r="O20" s="146" t="str">
        <x:f>IF(E6&gt;=B6,"EARLY AMORTIZATION","PASS")</x:f>
        <x:v>EARLY AMORTIZATION</x:v>
      </x:c>
      <x:c r="P20" s="146" t="str">
        <x:f>IF(E6&gt;=B6,"EARLY AMORTIZATION","PASS")</x:f>
        <x:v>EARLY AMORTIZATION</x:v>
      </x:c>
      <x:c r="Q20" s="146" t="str">
        <x:f>IF(E6&gt;=B6,"EARLY AMORTIZATION","PASS")</x:f>
        <x:v>EARLY AMORTIZATION</x:v>
      </x:c>
      <x:c r="R20" s="146" t="str">
        <x:f>IF(E6&gt;=B6,"EARLY AMORTIZATION","PASS")</x:f>
        <x:v>EARLY AMORTIZATION</x:v>
      </x:c>
      <x:c r="S20" s="146" t="str">
        <x:f>IF(E6&gt;=B6,"EARLY AMORTIZATION","PASS")</x:f>
        <x:v>EARLY AMORTIZATION</x:v>
      </x:c>
      <x:c r="T20" s="146" t="str">
        <x:f>IF(E6&gt;=B6,"EARLY AMORTIZATION","PASS")</x:f>
        <x:v>EARLY AMORTIZATION</x:v>
      </x:c>
      <x:c r="U20" s="146" t="str">
        <x:f>IF(E6&gt;=B6,"EARLY AMORTIZATION","PASS")</x:f>
        <x:v>EARLY AMORTIZATION</x:v>
      </x:c>
      <x:c r="V20" s="146" t="str">
        <x:f>IF(E6&gt;=B6,"EARLY AMORTIZATION","PASS")</x:f>
        <x:v>EARLY AMORTIZATION</x:v>
      </x:c>
      <x:c r="W20" s="146" t="str">
        <x:f>IF(E6&gt;=B6,"EARLY AMORTIZATION","PASS")</x:f>
        <x:v>EARLY AMORTIZATION</x:v>
      </x:c>
      <x:c r="X20" s="146" t="str">
        <x:f>IF(E6&gt;=B6,"EARLY AMORTIZATION","PASS")</x:f>
        <x:v>EARLY AMORTIZATION</x:v>
      </x:c>
      <x:c r="Y20" s="146" t="str">
        <x:f>IF(E6&gt;=B6,"EARLY AMORTIZATION","PASS")</x:f>
        <x:v>EARLY AMORTIZATION</x:v>
      </x:c>
      <x:c r="Z20" s="146" t="str">
        <x:f>IF(E6&gt;=B6,"EARLY AMORTIZATION","PASS")</x:f>
        <x:v>EARLY AMORTIZATION</x:v>
      </x:c>
      <x:c r="AA20" s="146" t="str">
        <x:f>IF(E6&gt;=B6,"EARLY AMORTIZATION","PASS")</x:f>
        <x:v>EARLY AMORTIZATION</x:v>
      </x:c>
      <x:c r="AB20" s="146" t="str">
        <x:f>IF(E6&gt;=B6,"EARLY AMORTIZATION","PASS")</x:f>
        <x:v>EARLY AMORTIZATION</x:v>
      </x:c>
      <x:c r="AC20" s="146" t="str">
        <x:f>IF(E6&gt;=B6,"EARLY AMORTIZATION","PASS")</x:f>
        <x:v>EARLY AMORTIZATION</x:v>
      </x:c>
      <x:c r="AD20" s="146" t="str">
        <x:f>IF(E6&gt;=B6,"EARLY AMORTIZATION","PASS")</x:f>
        <x:v>EARLY AMORTIZATION</x:v>
      </x:c>
      <x:c r="AE20" s="146" t="str">
        <x:f>IF(E6&gt;=B6,"EARLY AMORTIZATION","PASS")</x:f>
        <x:v>EARLY AMORTIZATION</x:v>
      </x:c>
      <x:c r="AF20" s="146" t="str">
        <x:f>IF(E6&gt;=B6,"EARLY AMORTIZATION","PASS")</x:f>
        <x:v>EARLY AMORTIZATION</x:v>
      </x:c>
      <x:c r="AG20" s="146" t="str">
        <x:f>IF(E6&gt;=B6,"EARLY AMORTIZATION","PASS")</x:f>
        <x:v>EARLY AMORTIZATION</x:v>
      </x:c>
      <x:c r="AH20" s="146" t="str">
        <x:f>IF(E6&gt;=B6,"EARLY AMORTIZATION","PASS")</x:f>
        <x:v>EARLY AMORTIZATION</x:v>
      </x:c>
      <x:c r="AI20" s="146" t="str">
        <x:f>IF(E6&gt;=B6,"EARLY AMORTIZATION","PASS")</x:f>
        <x:v>EARLY AMORTIZATION</x:v>
      </x:c>
      <x:c r="AJ20" s="146" t="str">
        <x:f>IF(E6&gt;=B6,"EARLY AMORTIZATION","PASS")</x:f>
        <x:v>EARLY AMORTIZATION</x:v>
      </x:c>
      <x:c r="AK20" s="146" t="str">
        <x:f>IF(E6&gt;=B6,"EARLY AMORTIZATION","PASS")</x:f>
        <x:v>EARLY AMORTIZATION</x:v>
      </x:c>
      <x:c r="AL20" s="146" t="str">
        <x:f>IF(E6&gt;=B6,"EARLY AMORTIZATION","PASS")</x:f>
        <x:v>EARLY AMORTIZATION</x:v>
      </x:c>
      <x:c r="AM20" s="146" t="str">
        <x:f>IF(E6&gt;=B6,"EARLY AMORTIZATION","PASS")</x:f>
        <x:v>EARLY AMORTIZATION</x:v>
      </x:c>
      <x:c r="AN20" s="146" t="str">
        <x:f>IF(E6&gt;=B6,"EARLY AMORTIZATION","PASS")</x:f>
        <x:v>EARLY AMORTIZATION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144" t="str">
        <x:v>Investor Returns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Illustrative class-level cash returns; replace pricing and timing with executed terms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0" t="str">
        <x:v>Metric</x:v>
      </x:c>
      <x:c r="B4" s="150" t="str">
        <x:v>Class A</x:v>
      </x:c>
      <x:c r="C4" s="150" t="str">
        <x:v>Class B</x:v>
      </x:c>
      <x:c r="D4" s="150" t="str">
        <x:v>Class C</x:v>
      </x:c>
      <x:c r="E4" s="146"/>
      <x:c r="F4" s="146"/>
      <x:c r="G4" s="146"/>
      <x:c r="H4" s="146"/>
    </x:row>
    <x:row r="5">
      <x:c r="A5" s="146" t="str">
        <x:v>Initial investment</x:v>
      </x:c>
      <x:c r="B5" s="167" t="n">
        <x:f>'Summary'!B7</x:f>
        <x:v>6750000</x:v>
      </x:c>
      <x:c r="C5" s="167" t="n">
        <x:f>'Summary'!B8</x:f>
        <x:v>1350000</x:v>
      </x:c>
      <x:c r="D5" s="167" t="n">
        <x:f>'Summary'!B9</x:f>
        <x:v>900000</x:v>
      </x:c>
      <x:c r="E5" s="146"/>
      <x:c r="F5" s="146"/>
      <x:c r="G5" s="146"/>
      <x:c r="H5" s="146"/>
    </x:row>
    <x:row r="6">
      <x:c r="A6" s="146" t="str">
        <x:v>Cash interest</x:v>
      </x:c>
      <x:c r="B6" s="167" t="n">
        <x:f>'Debt_Schedules'!C6*36</x:f>
        <x:v>2531250</x:v>
      </x:c>
      <x:c r="C6" s="167" t="n">
        <x:f>'Debt_Schedules'!C10*36</x:f>
        <x:v>810000</x:v>
      </x:c>
      <x:c r="D6" s="167" t="n">
        <x:f>0</x:f>
        <x:v>0</x:v>
      </x:c>
      <x:c r="E6" s="146"/>
      <x:c r="F6" s="146"/>
      <x:c r="G6" s="146"/>
      <x:c r="H6" s="146"/>
    </x:row>
    <x:row r="7">
      <x:c r="A7" s="146" t="str">
        <x:v>Principal repaid</x:v>
      </x:c>
      <x:c r="B7" s="167" t="n">
        <x:f>'Debt_Schedules'!C7+'Debt_Schedules'!C8</x:f>
        <x:v>6750000</x:v>
      </x:c>
      <x:c r="C7" s="167" t="n">
        <x:f>'Debt_Schedules'!C11+'Debt_Schedules'!C12</x:f>
        <x:v>1350000</x:v>
      </x:c>
      <x:c r="D7" s="167" t="n">
        <x:f>'Waterfall'!C14/'Assumptions'!$B$12</x:f>
        <x:v>41906630533.92793</x:v>
      </x:c>
      <x:c r="E7" s="146"/>
      <x:c r="F7" s="146"/>
      <x:c r="G7" s="146"/>
      <x:c r="H7" s="146"/>
    </x:row>
    <x:row r="8">
      <x:c r="A8" s="146" t="str">
        <x:v>Principal loss</x:v>
      </x:c>
      <x:c r="B8" s="167" t="n">
        <x:f>MAX(0,B5-B7)</x:f>
        <x:v>0</x:v>
      </x:c>
      <x:c r="C8" s="167" t="n">
        <x:f>MAX(0,C5-C7)</x:f>
        <x:v>0</x:v>
      </x:c>
      <x:c r="D8" s="167" t="n">
        <x:f>0</x:f>
        <x:v>0</x:v>
      </x:c>
      <x:c r="E8" s="146"/>
      <x:c r="F8" s="146"/>
      <x:c r="G8" s="146"/>
      <x:c r="H8" s="146"/>
    </x:row>
    <x:row r="9">
      <x:c r="A9" s="146" t="str">
        <x:v>Total cash received</x:v>
      </x:c>
      <x:c r="B9" s="167" t="n">
        <x:f>B6+B7</x:f>
        <x:v>9281250</x:v>
      </x:c>
      <x:c r="C9" s="167" t="n">
        <x:f>C6+C7</x:f>
        <x:v>2160000</x:v>
      </x:c>
      <x:c r="D9" s="167" t="n">
        <x:f>D6+D7</x:f>
        <x:v>41906630533.92793</x:v>
      </x:c>
      <x:c r="E9" s="146"/>
      <x:c r="F9" s="146"/>
      <x:c r="G9" s="146"/>
      <x:c r="H9" s="146"/>
    </x:row>
    <x:row r="10">
      <x:c r="A10" s="146" t="str">
        <x:v>Illustrative MOIC</x:v>
      </x:c>
      <x:c r="B10" s="168" t="n">
        <x:f>IFERROR(B9/B5,0)</x:f>
        <x:v>1.375</x:v>
      </x:c>
      <x:c r="C10" s="168" t="n">
        <x:f>IFERROR(C9/C5,0)</x:f>
        <x:v>1.6</x:v>
      </x:c>
      <x:c r="D10" s="168" t="n">
        <x:f>IFERROR(D9/D5,0)</x:f>
        <x:v>46562.92281547548</x:v>
      </x:c>
      <x:c r="E10" s="146"/>
      <x:c r="F10" s="146"/>
      <x:c r="G10" s="146"/>
      <x:c r="H10" s="14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44" t="str">
        <x:v>Sensitivities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Formula-driven lender sensitivities; outputs are directional until a portfolio tape is loaded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0" t="str">
        <x:v>Case</x:v>
      </x:c>
      <x:c r="B4" s="150" t="str">
        <x:v>IPF default</x:v>
      </x:c>
      <x:c r="C4" s="150" t="str">
        <x:v>Microloan default</x:v>
      </x:c>
      <x:c r="D4" s="150" t="str">
        <x:v>Recovery</x:v>
      </x:c>
      <x:c r="E4" s="150" t="str">
        <x:v>OC ratio</x:v>
      </x:c>
      <x:c r="F4" s="150" t="str">
        <x:v>Minimum DSCR</x:v>
      </x:c>
      <x:c r="G4" s="146"/>
      <x:c r="H4" s="146"/>
    </x:row>
    <x:row r="5">
      <x:c r="A5" s="146" t="str">
        <x:v>Base Case</x:v>
      </x:c>
      <x:c r="B5" s="159" t="n">
        <x:v>0.032</x:v>
      </x:c>
      <x:c r="C5" s="159" t="n">
        <x:v>0.045</x:v>
      </x:c>
      <x:c r="D5" s="159" t="n">
        <x:v>0.4</x:v>
      </x:c>
      <x:c r="E5" s="165" t="n">
        <x:f>'Reserves_OC'!B7</x:f>
        <x:v>1.4814814814814814</x:v>
      </x:c>
      <x:c r="F5" s="165" t="n">
        <x:f>MIN('Debt_Schedules'!D14:AM14)</x:f>
        <x:v>886735.2888540016</x:v>
      </x:c>
      <x:c r="G5" s="146"/>
      <x:c r="H5" s="146"/>
    </x:row>
    <x:row r="6">
      <x:c r="A6" s="146" t="str">
        <x:v>Mild Shock</x:v>
      </x:c>
      <x:c r="B6" s="159" t="n">
        <x:v>0.068</x:v>
      </x:c>
      <x:c r="C6" s="159" t="n">
        <x:v>0.091</x:v>
      </x:c>
      <x:c r="D6" s="159" t="n">
        <x:v>0.32</x:v>
      </x:c>
      <x:c r="E6" s="165" t="n">
        <x:f>'Reserves_OC'!B7</x:f>
        <x:v>1.4814814814814814</x:v>
      </x:c>
      <x:c r="F6" s="165" t="n">
        <x:f>MIN('Debt_Schedules'!D14:AM14)</x:f>
        <x:v>886735.2888540016</x:v>
      </x:c>
      <x:c r="G6" s="146"/>
      <x:c r="H6" s="146"/>
    </x:row>
    <x:row r="7">
      <x:c r="A7" s="146" t="str">
        <x:v>Severe Contagion</x:v>
      </x:c>
      <x:c r="B7" s="159" t="n">
        <x:v>0.145</x:v>
      </x:c>
      <x:c r="C7" s="159" t="n">
        <x:v>0.22</x:v>
      </x:c>
      <x:c r="D7" s="159" t="n">
        <x:v>0.22</x:v>
      </x:c>
      <x:c r="E7" s="165" t="n">
        <x:f>'Reserves_OC'!B7</x:f>
        <x:v>1.4814814814814814</x:v>
      </x:c>
      <x:c r="F7" s="165" t="n">
        <x:f>MIN('Debt_Schedules'!D14:AM14)</x:f>
        <x:v>886735.2888540016</x:v>
      </x:c>
      <x:c r="G7" s="146"/>
      <x:c r="H7" s="146"/>
    </x:row>
    <x:row r="8">
      <x:c r="A8" s="146" t="str">
        <x:v>FX +10%</x:v>
      </x:c>
      <x:c r="B8" s="159" t="n">
        <x:v>0.032</x:v>
      </x:c>
      <x:c r="C8" s="159" t="n">
        <x:v>0.045</x:v>
      </x:c>
      <x:c r="D8" s="159" t="n">
        <x:v>0.4</x:v>
      </x:c>
      <x:c r="E8" s="165" t="n">
        <x:f>'Reserves_OC'!B7</x:f>
        <x:v>1.4814814814814814</x:v>
      </x:c>
      <x:c r="F8" s="165" t="n">
        <x:f>MIN('Debt_Schedules'!D14:AM14)</x:f>
        <x:v>886735.2888540016</x:v>
      </x:c>
      <x:c r="G8" s="146"/>
      <x:c r="H8" s="146"/>
    </x:row>
    <x:row r="9">
      <x:c r="A9" s="146" t="str">
        <x:v>Collection lag +30d</x:v>
      </x:c>
      <x:c r="B9" s="159" t="n">
        <x:v>0.032</x:v>
      </x:c>
      <x:c r="C9" s="159" t="n">
        <x:v>0.045</x:v>
      </x:c>
      <x:c r="D9" s="159" t="n">
        <x:v>0.4</x:v>
      </x:c>
      <x:c r="E9" s="165" t="n">
        <x:f>'Reserves_OC'!B7</x:f>
        <x:v>1.4814814814814814</x:v>
      </x:c>
      <x:c r="F9" s="165" t="n">
        <x:f>MIN('Debt_Schedules'!D14:AM14)</x:f>
        <x:v>886735.2888540016</x:v>
      </x:c>
      <x:c r="G9" s="146"/>
      <x:c r="H9" s="14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6" hidden="0" customWidth="1"/>
  </x:cols>
  <x:sheetData>
    <x:row r="1" ht="28" customHeight="1">
      <x:c r="A1" s="144" t="str">
        <x:v>HoldCo Overlay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Separate $1m venture debt overlay; not mixed into the SPV receivables waterfall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0" t="str">
        <x:v>Use of proceeds</x:v>
      </x:c>
      <x:c r="B4" s="150" t="str">
        <x:v>Amount USD</x:v>
      </x:c>
      <x:c r="C4" s="150" t="str">
        <x:v>Status</x:v>
      </x:c>
      <x:c r="D4" s="146"/>
      <x:c r="E4" s="146"/>
      <x:c r="F4" s="146"/>
      <x:c r="G4" s="146"/>
      <x:c r="H4" s="146"/>
    </x:row>
    <x:row r="5">
      <x:c r="A5" s="146" t="str">
        <x:v>Engineering scale-up</x:v>
      </x:c>
      <x:c r="B5" s="162" t="n">
        <x:v>200000</x:v>
      </x:c>
      <x:c r="C5" s="146" t="str">
        <x:v>Illustrative</x:v>
      </x:c>
      <x:c r="D5" s="146"/>
      <x:c r="E5" s="146"/>
      <x:c r="F5" s="146"/>
      <x:c r="G5" s="146"/>
      <x:c r="H5" s="146"/>
    </x:row>
    <x:row r="6">
      <x:c r="A6" s="146" t="str">
        <x:v>Regulatory sandbox and API integrations</x:v>
      </x:c>
      <x:c r="B6" s="162" t="n">
        <x:v>150000</x:v>
      </x:c>
      <x:c r="C6" s="146" t="str">
        <x:v>Illustrative</x:v>
      </x:c>
      <x:c r="D6" s="146"/>
      <x:c r="E6" s="146"/>
      <x:c r="F6" s="146"/>
      <x:c r="G6" s="146"/>
      <x:c r="H6" s="146"/>
    </x:row>
    <x:row r="7">
      <x:c r="A7" s="146" t="str">
        <x:v>Data acquisition and validation</x:v>
      </x:c>
      <x:c r="B7" s="162" t="n">
        <x:v>200000</x:v>
      </x:c>
      <x:c r="C7" s="146" t="str">
        <x:v>Illustrative</x:v>
      </x:c>
      <x:c r="D7" s="146"/>
      <x:c r="E7" s="146"/>
      <x:c r="F7" s="146"/>
      <x:c r="G7" s="146"/>
      <x:c r="H7" s="146"/>
    </x:row>
    <x:row r="8">
      <x:c r="A8" s="146" t="str">
        <x:v>Fairness audit and model governance</x:v>
      </x:c>
      <x:c r="B8" s="162" t="n">
        <x:v>100000</x:v>
      </x:c>
      <x:c r="C8" s="146" t="str">
        <x:v>Illustrative</x:v>
      </x:c>
      <x:c r="D8" s="146"/>
      <x:c r="E8" s="146"/>
      <x:c r="F8" s="146"/>
      <x:c r="G8" s="146"/>
      <x:c r="H8" s="146"/>
    </x:row>
    <x:row r="9">
      <x:c r="A9" s="146" t="str">
        <x:v>Servicing and operations infrastructure</x:v>
      </x:c>
      <x:c r="B9" s="162" t="n">
        <x:v>200000</x:v>
      </x:c>
      <x:c r="C9" s="146" t="str">
        <x:v>Illustrative</x:v>
      </x:c>
      <x:c r="D9" s="146"/>
      <x:c r="E9" s="146"/>
      <x:c r="F9" s="146"/>
      <x:c r="G9" s="146"/>
      <x:c r="H9" s="146"/>
    </x:row>
    <x:row r="10">
      <x:c r="A10" s="146" t="str">
        <x:v>Legal and transaction costs</x:v>
      </x:c>
      <x:c r="B10" s="162" t="n">
        <x:v>150000</x:v>
      </x:c>
      <x:c r="C10" s="146" t="str">
        <x:v>Illustrative</x:v>
      </x:c>
      <x:c r="D10" s="146"/>
      <x:c r="E10" s="146"/>
      <x:c r="F10" s="146"/>
      <x:c r="G10" s="146"/>
      <x:c r="H10" s="146"/>
    </x:row>
    <x:row r="11">
      <x:c r="A11" s="146" t="str">
        <x:v>Total HoldCo overlay</x:v>
      </x:c>
      <x:c r="B11" s="162" t="n">
        <x:f>SUM(B5:B10)</x:f>
        <x:v>1000000</x:v>
      </x:c>
      <x:c r="C11" s="146" t="str">
        <x:v>Check</x:v>
      </x:c>
      <x:c r="D11" s="146"/>
      <x:c r="E11" s="146"/>
      <x:c r="F11" s="146"/>
      <x:c r="G11" s="146"/>
      <x:c r="H11" s="14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8" hidden="0" customWidth="1"/>
  </x:cols>
  <x:sheetData>
    <x:row r="1" ht="28" customHeight="1">
      <x:c r="A1" s="144" t="str">
        <x:v>Partner Economics and Feature Ownership</x:v>
      </x:c>
      <x:c r="B1" s="144"/>
      <x:c r="C1" s="144"/>
      <x:c r="D1" s="144"/>
      <x:c r="E1" s="144"/>
      <x:c r="F1" s="144"/>
      <x:c r="G1" s="144"/>
      <x:c r="H1" s="144"/>
    </x:row>
    <x:row r="2">
      <x:c r="A2" s="145" t="str">
        <x:v>Canonical technical architecture and ownership rules</x:v>
      </x:c>
      <x:c r="B2" s="145"/>
      <x:c r="C2" s="145"/>
      <x:c r="D2" s="145"/>
      <x:c r="E2" s="145"/>
      <x:c r="F2" s="145"/>
      <x:c r="G2" s="145"/>
      <x:c r="H2" s="145"/>
    </x:row>
    <x:row r="3">
      <x:c r="A3" s="146"/>
      <x:c r="B3" s="146"/>
      <x:c r="C3" s="146"/>
      <x:c r="D3" s="146"/>
      <x:c r="E3" s="146"/>
      <x:c r="F3" s="146"/>
      <x:c r="G3" s="146"/>
      <x:c r="H3" s="146"/>
    </x:row>
    <x:row r="4">
      <x:c r="A4" s="154" t="str">
        <x:v>Feature / signal</x:v>
      </x:c>
      <x:c r="B4" s="154" t="str">
        <x:v>Source</x:v>
      </x:c>
      <x:c r="C4" s="154" t="str">
        <x:v>Processing path</x:v>
      </x:c>
      <x:c r="D4" s="154" t="str">
        <x:v>Bayesian role</x:v>
      </x:c>
      <x:c r="E4" s="154" t="str">
        <x:v>Policy role</x:v>
      </x:c>
      <x:c r="F4" s="146"/>
      <x:c r="G4" s="146"/>
      <x:c r="H4" s="146"/>
    </x:row>
    <x:row r="5">
      <x:c r="A5" s="148" t="str">
        <x:v>Hard braking</x:v>
      </x:c>
      <x:c r="B5" s="148" t="str">
        <x:v>IMU</x:v>
      </x:c>
      <x:c r="C5" s="148" t="str">
        <x:v>GRU</x:v>
      </x:c>
      <x:c r="D5" s="148" t="str">
        <x:v>Neural embedding</x:v>
      </x:c>
      <x:c r="E5" s="148" t="str">
        <x:v>Fatigue / claims intervention</x:v>
      </x:c>
      <x:c r="F5" s="146"/>
      <x:c r="G5" s="146"/>
      <x:c r="H5" s="146"/>
    </x:row>
    <x:row r="6">
      <x:c r="A6" s="148" t="str">
        <x:v>Circadian fatigue</x:v>
      </x:c>
      <x:c r="B6" s="148" t="str">
        <x:v>Telematics session</x:v>
      </x:c>
      <x:c r="C6" s="148" t="str">
        <x:v>GRU</x:v>
      </x:c>
      <x:c r="D6" s="148" t="str">
        <x:v>Neural embedding</x:v>
      </x:c>
      <x:c r="E6" s="148" t="str">
        <x:v>Routing restriction</x:v>
      </x:c>
      <x:c r="F6" s="146"/>
      <x:c r="G6" s="146"/>
      <x:c r="H6" s="146"/>
    </x:row>
    <x:row r="7">
      <x:c r="A7" s="148" t="str">
        <x:v>Gas-price regime</x:v>
      </x:c>
      <x:c r="B7" s="148" t="str">
        <x:v>Macro feed</x:v>
      </x:c>
      <x:c r="C7" s="148" t="str">
        <x:v>Transformer</x:v>
      </x:c>
      <x:c r="D7" s="148" t="str">
        <x:v>Neural context</x:v>
      </x:c>
      <x:c r="E7" s="148" t="str">
        <x:v>Scenario input</x:v>
      </x:c>
      <x:c r="F7" s="146"/>
      <x:c r="G7" s="146"/>
      <x:c r="H7" s="146"/>
    </x:row>
    <x:row r="8">
      <x:c r="A8" s="148" t="str">
        <x:v>CFA</x:v>
      </x:c>
      <x:c r="B8" s="148" t="str">
        <x:v>Wallet ledger</x:v>
      </x:c>
      <x:c r="C8" s="148" t="str">
        <x:v>Explicit Liquidity Feature Path</x:v>
      </x:c>
      <x:c r="D8" s="148" t="str">
        <x:v>Spline term</x:v>
      </x:c>
      <x:c r="E8" s="148" t="str">
        <x:v>Limit and SICR input</x:v>
      </x:c>
      <x:c r="F8" s="146"/>
      <x:c r="G8" s="146"/>
      <x:c r="H8" s="146"/>
    </x:row>
    <x:row r="9">
      <x:c r="A9" s="148" t="str">
        <x:v>DLR</x:v>
      </x:c>
      <x:c r="B9" s="148" t="str">
        <x:v>Wallet and debt ledger</x:v>
      </x:c>
      <x:c r="C9" s="148" t="str">
        <x:v>Explicit Liquidity Feature Path</x:v>
      </x:c>
      <x:c r="D9" s="148" t="str">
        <x:v>Spline term</x:v>
      </x:c>
      <x:c r="E9" s="148" t="str">
        <x:v>Debt-cap rule</x:v>
      </x:c>
      <x:c r="F9" s="146"/>
      <x:c r="G9" s="146"/>
      <x:c r="H9" s="146"/>
    </x:row>
    <x:row r="10">
      <x:c r="A10" s="148" t="str">
        <x:v>Earnings Velocity</x:v>
      </x:c>
      <x:c r="B10" s="148" t="str">
        <x:v>Wallet ledger</x:v>
      </x:c>
      <x:c r="C10" s="148" t="str">
        <x:v>Explicit Liquidity Feature Path</x:v>
      </x:c>
      <x:c r="D10" s="148" t="str">
        <x:v>Spline term</x:v>
      </x:c>
      <x:c r="E10" s="148" t="str">
        <x:v>Sufficiency trigger</x:v>
      </x:c>
      <x:c r="F10" s="146"/>
      <x:c r="G10" s="146"/>
      <x:c r="H10" s="146"/>
    </x:row>
    <x:row r="11">
      <x:c r="A11" s="148" t="str">
        <x:v>Repayment Velocity</x:v>
      </x:c>
      <x:c r="B11" s="148" t="str">
        <x:v>Repayment ledger</x:v>
      </x:c>
      <x:c r="C11" s="148" t="str">
        <x:v>Explicit Liquidity Feature Path</x:v>
      </x:c>
      <x:c r="D11" s="148" t="str">
        <x:v>Spline term</x:v>
      </x:c>
      <x:c r="E11" s="148" t="str">
        <x:v>Restructuring trigger</x:v>
      </x:c>
      <x:c r="F11" s="146"/>
      <x:c r="G11" s="146"/>
      <x:c r="H11" s="146"/>
    </x:row>
    <x:row r="12">
      <x:c r="A12" s="148" t="str">
        <x:v>Reserve Balance</x:v>
      </x:c>
      <x:c r="B12" s="148" t="str">
        <x:v>Reserve ledger</x:v>
      </x:c>
      <x:c r="C12" s="148" t="str">
        <x:v>Explicit Liquidity Feature Path</x:v>
      </x:c>
      <x:c r="D12" s="148" t="str">
        <x:v>Direct liquidity term</x:v>
      </x:c>
      <x:c r="E12" s="148" t="str">
        <x:v>CRA and limit control</x:v>
      </x:c>
      <x:c r="F12" s="146"/>
      <x:c r="G12" s="146"/>
      <x:c r="H12" s="146"/>
    </x:row>
    <x:row r="13">
      <x:c r="A13" s="148" t="str">
        <x:v>PSI</x:v>
      </x:c>
      <x:c r="B13" s="148" t="str">
        <x:v>Monitoring service</x:v>
      </x:c>
      <x:c r="C13" s="148" t="str">
        <x:v>Credit Policy and Compliance Gate</x:v>
      </x:c>
      <x:c r="D13" s="148" t="str">
        <x:v>Governance signal</x:v>
      </x:c>
      <x:c r="E13" s="148" t="str">
        <x:v>Freeze / retrain</x:v>
      </x:c>
      <x:c r="F13" s="146"/>
      <x:c r="G13" s="146"/>
      <x:c r="H13" s="146"/>
    </x:row>
    <x:row r="14">
      <x:c r="A14" s="148" t="str">
        <x:v>NPL ratio</x:v>
      </x:c>
      <x:c r="B14" s="148" t="str">
        <x:v>Portfolio ledger</x:v>
      </x:c>
      <x:c r="C14" s="148" t="str">
        <x:v>Credit Policy and Compliance Gate</x:v>
      </x:c>
      <x:c r="D14" s="148" t="str">
        <x:v>Portfolio output</x:v>
      </x:c>
      <x:c r="E14" s="148" t="str">
        <x:v>Early amortization</x:v>
      </x:c>
      <x:c r="F14" s="146"/>
      <x:c r="G14" s="146"/>
      <x:c r="H14" s="146"/>
    </x:row>
    <x:row r="15">
      <x:c r="A15" s="148" t="str">
        <x:v>Concentration</x:v>
      </x:c>
      <x:c r="B15" s="148" t="str">
        <x:v>SPV portfolio</x:v>
      </x:c>
      <x:c r="C15" s="148" t="str">
        <x:v>Credit Policy and Compliance Gate</x:v>
      </x:c>
      <x:c r="D15" s="148" t="str">
        <x:v>Portfolio output</x:v>
      </x:c>
      <x:c r="E15" s="148" t="str">
        <x:v>Purchase restrictions</x:v>
      </x:c>
      <x:c r="F15" s="146"/>
      <x:c r="G15" s="146"/>
      <x:c r="H15" s="146"/>
    </x:row>
    <x:row r="16">
      <x:c r="A16" s="148" t="str">
        <x:v>Canonical sequence</x:v>
      </x:c>
      <x:c r="B16" s="148" t="str">
        <x:v>Events → Flink</x:v>
      </x:c>
      <x:c r="C16" s="148" t="str">
        <x:v>Neural + Explicit Liquidity</x:v>
      </x:c>
      <x:c r="D16" s="148" t="str">
        <x:v>Bayesian underwriting</x:v>
      </x:c>
      <x:c r="E16" s="148" t="str">
        <x:v>Separate policy gate</x:v>
      </x:c>
      <x:c r="F16" s="146"/>
      <x:c r="G16" s="146"/>
      <x:c r="H16" s="14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8" customHeight="1">
      <x:c r="A1" s="144" t="str">
        <x:v>Sources and Audit</x:v>
      </x:c>
      <x:c r="B1" s="144"/>
      <x:c r="C1" s="144"/>
      <x:c r="D1" s="144"/>
      <x:c r="E1" s="144"/>
      <x:c r="F1" s="144"/>
      <x:c r="G1" s="144"/>
      <x:c r="H1" s="144"/>
      <x:c r="I1" s="146"/>
      <x:c r="J1" s="146"/>
    </x:row>
    <x:row r="2">
      <x:c r="A2" s="145" t="str">
        <x:v>Traceable source status, terminology reconciliation and diligence ownership</x:v>
      </x:c>
      <x:c r="B2" s="145"/>
      <x:c r="C2" s="145"/>
      <x:c r="D2" s="145"/>
      <x:c r="E2" s="145"/>
      <x:c r="F2" s="145"/>
      <x:c r="G2" s="145"/>
      <x:c r="H2" s="145"/>
      <x:c r="I2" s="146"/>
      <x:c r="J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</x:row>
    <x:row r="4">
      <x:c r="A4" s="154" t="str">
        <x:v>Document</x:v>
      </x:c>
      <x:c r="B4" s="154" t="str">
        <x:v>Section / input</x:v>
      </x:c>
      <x:c r="C4" s="154" t="str">
        <x:v>Value</x:v>
      </x:c>
      <x:c r="D4" s="154" t="str">
        <x:v>Units</x:v>
      </x:c>
      <x:c r="E4" s="154" t="str">
        <x:v>Currency</x:v>
      </x:c>
      <x:c r="F4" s="154" t="str">
        <x:v>As-of</x:v>
      </x:c>
      <x:c r="G4" s="154" t="str">
        <x:v>Source type</x:v>
      </x:c>
      <x:c r="H4" s="154" t="str">
        <x:v>Assumption status</x:v>
      </x:c>
      <x:c r="I4" s="154" t="str">
        <x:v>Diligence owner</x:v>
      </x:c>
      <x:c r="J4" s="154" t="str">
        <x:v>Notes</x:v>
      </x:c>
    </x:row>
    <x:row r="5">
      <x:c r="A5" s="148" t="str">
        <x:v>Mwendo Pamoja SPV Financial Term Sheet</x:v>
      </x:c>
      <x:c r="B5" s="148" t="str">
        <x:v>Facility size</x:v>
      </x:c>
      <x:c r="C5" s="148" t="n">
        <x:v>9000000</x:v>
      </x:c>
      <x:c r="D5" s="148" t="str">
        <x:v>amount</x:v>
      </x:c>
      <x:c r="E5" s="148" t="str">
        <x:v>USD</x:v>
      </x:c>
      <x:c r="F5" s="148" t="str">
        <x:v>2026</x:v>
      </x:c>
      <x:c r="G5" s="148" t="str">
        <x:v>Source-backed</x:v>
      </x:c>
      <x:c r="H5" s="148" t="str">
        <x:v>Locked</x:v>
      </x:c>
      <x:c r="I5" s="148" t="str">
        <x:v>Structuring</x:v>
      </x:c>
      <x:c r="J5" s="148" t="str">
        <x:v>Primary SPV case</x:v>
      </x:c>
    </x:row>
    <x:row r="6">
      <x:c r="A6" s="148" t="str">
        <x:v>Mwendo Pamoja SPV Financial Term Sheet</x:v>
      </x:c>
      <x:c r="B6" s="148" t="str">
        <x:v>Advance rate</x:v>
      </x:c>
      <x:c r="C6" s="148" t="n">
        <x:v>0.75</x:v>
      </x:c>
      <x:c r="D6" s="148" t="str">
        <x:v>percent</x:v>
      </x:c>
      <x:c r="E6" s="148" t="str">
        <x:v>-</x:v>
      </x:c>
      <x:c r="F6" s="148" t="str">
        <x:v>2026</x:v>
      </x:c>
      <x:c r="G6" s="148" t="str">
        <x:v>Source-backed</x:v>
      </x:c>
      <x:c r="H6" s="148" t="str">
        <x:v>Locked</x:v>
      </x:c>
      <x:c r="I6" s="148" t="str">
        <x:v>Structuring</x:v>
      </x:c>
      <x:c r="J6" s="148" t="str">
        <x:v>Total-capital convention</x:v>
      </x:c>
    </x:row>
    <x:row r="7">
      <x:c r="A7" s="148" t="str">
        <x:v>Strategic Partnership Memorandum</x:v>
      </x:c>
      <x:c r="B7" s="148" t="str">
        <x:v>HoldCo overlay</x:v>
      </x:c>
      <x:c r="C7" s="148" t="n">
        <x:v>1000000</x:v>
      </x:c>
      <x:c r="D7" s="148" t="str">
        <x:v>amount</x:v>
      </x:c>
      <x:c r="E7" s="148" t="str">
        <x:v>USD</x:v>
      </x:c>
      <x:c r="F7" s="148" t="str">
        <x:v>2026</x:v>
      </x:c>
      <x:c r="G7" s="148" t="str">
        <x:v>Source-backed</x:v>
      </x:c>
      <x:c r="H7" s="148" t="str">
        <x:v>Locked</x:v>
      </x:c>
      <x:c r="I7" s="148" t="str">
        <x:v>Sponsor</x:v>
      </x:c>
      <x:c r="J7" s="148" t="str">
        <x:v>Separate overlay</x:v>
      </x:c>
    </x:row>
    <x:row r="8">
      <x:c r="A8" s="148" t="str">
        <x:v>Regulatory Orchestration</x:v>
      </x:c>
      <x:c r="B8" s="148" t="str">
        <x:v>PSI threshold</x:v>
      </x:c>
      <x:c r="C8" s="148" t="n">
        <x:v>0.25</x:v>
      </x:c>
      <x:c r="D8" s="148" t="str">
        <x:v>score</x:v>
      </x:c>
      <x:c r="E8" s="148" t="str">
        <x:v>-</x:v>
      </x:c>
      <x:c r="F8" s="148" t="str">
        <x:v>2026</x:v>
      </x:c>
      <x:c r="G8" s="148" t="str">
        <x:v>Source-backed</x:v>
      </x:c>
      <x:c r="H8" s="148" t="str">
        <x:v>Locked</x:v>
      </x:c>
      <x:c r="I8" s="148" t="str">
        <x:v>Model risk</x:v>
      </x:c>
      <x:c r="J8" s="148" t="str">
        <x:v>Freeze / recalibrate</x:v>
      </x:c>
    </x:row>
    <x:row r="9">
      <x:c r="A9" s="148" t="str">
        <x:v>SPV term sheet</x:v>
      </x:c>
      <x:c r="B9" s="148" t="str">
        <x:v>NPL threshold</x:v>
      </x:c>
      <x:c r="C9" s="148" t="n">
        <x:v>0.065</x:v>
      </x:c>
      <x:c r="D9" s="148" t="str">
        <x:v>percent</x:v>
      </x:c>
      <x:c r="E9" s="148" t="str">
        <x:v>-</x:v>
      </x:c>
      <x:c r="F9" s="148" t="str">
        <x:v>2026</x:v>
      </x:c>
      <x:c r="G9" s="148" t="str">
        <x:v>Source-backed</x:v>
      </x:c>
      <x:c r="H9" s="148" t="str">
        <x:v>Locked</x:v>
      </x:c>
      <x:c r="I9" s="148" t="str">
        <x:v>Trustee</x:v>
      </x:c>
      <x:c r="J9" s="148" t="str">
        <x:v>Early amortization</x:v>
      </x:c>
    </x:row>
    <x:row r="10">
      <x:c r="A10" s="148" t="str">
        <x:v>Terminology harmonization</x:v>
      </x:c>
      <x:c r="B10" s="148" t="str">
        <x:v>Former label → replacement</x:v>
      </x:c>
      <x:c r="C10" s="148" t="str">
        <x:v>Tabular Bypass → Explicit Liquidity Feature Path</x:v>
      </x:c>
      <x:c r="D10" s="148" t="str">
        <x:v>text</x:v>
      </x:c>
      <x:c r="E10" s="148" t="str">
        <x:v>-</x:v>
      </x:c>
      <x:c r="F10" s="148" t="str">
        <x:v>2026</x:v>
      </x:c>
      <x:c r="G10" s="148" t="str">
        <x:v>Controlled change</x:v>
      </x:c>
      <x:c r="H10" s="148" t="str">
        <x:v>Locked</x:v>
      </x:c>
      <x:c r="I10" s="148" t="str">
        <x:v>Model governance</x:v>
      </x:c>
      <x:c r="J10" s="148" t="str">
        <x:v>Explicit liquidity features and policy gate separated</x:v>
      </x:c>
    </x:row>
  </x:sheetData>
  <x:pageMargins left="0.7" right="0.7" top="0.75" bottom="0.75" header="0.3" footer="0.3"/>
</x:worksheet>
</file>